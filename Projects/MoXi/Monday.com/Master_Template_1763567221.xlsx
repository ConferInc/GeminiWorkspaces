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master template" r:id="rId4"/>
    <sheet sheetId="2" name="master template-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2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00C875"/>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66CC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784BD1"/>
    </font>
    <font>
      <name val="Arial"/>
      <sz val="15"/>
      <family val="1"/>
      <b val="1"/>
    </font>
    <font>
      <name val="Arial"/>
      <sz val="11"/>
      <family val="1"/>
      <b val="1"/>
      <color rgb="FF000000"/>
    </font>
    <font>
      <name val="Arial"/>
      <sz val="11"/>
      <family val="1"/>
      <b val="1"/>
    </font>
  </fonts>
  <fills count="115">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DF2F4A"/>
      </patternFill>
    </fill>
    <fill>
      <patternFill patternType="solid">
        <fgColor rgb="FF9CD326"/>
      </patternFill>
    </fill>
    <fill>
      <patternFill patternType="solid">
        <fgColor rgb="FF00C875"/>
      </patternFill>
    </fill>
    <fill>
      <patternFill patternType="solid">
        <fgColor rgb="FF579BFC"/>
      </patternFill>
    </fill>
    <fill>
      <patternFill patternType="solid">
        <fgColor rgb="FF9CD326"/>
      </patternFill>
    </fill>
    <fill>
      <patternFill patternType="solid">
        <fgColor rgb="FF579BFC"/>
      </patternFill>
    </fill>
    <fill>
      <patternFill patternType="solid">
        <fgColor rgb="FFC4C4C4"/>
      </patternFill>
    </fill>
    <fill>
      <patternFill patternType="solid">
        <fgColor rgb="FFDF2F4A"/>
      </patternFill>
    </fill>
    <fill>
      <patternFill patternType="solid">
        <fgColor rgb="FF037F4C"/>
      </patternFill>
    </fill>
    <fill>
      <patternFill patternType="solid">
        <fgColor rgb="FFDF2F4A"/>
      </patternFill>
    </fill>
    <fill>
      <patternFill patternType="solid">
        <fgColor rgb="FF037F4C"/>
      </patternFill>
    </fill>
    <fill>
      <patternFill patternType="solid">
        <fgColor rgb="FFC4C4C4"/>
      </patternFill>
    </fill>
    <fill>
      <patternFill patternType="solid">
        <fgColor rgb="FF00C875"/>
      </patternFill>
    </fill>
    <fill>
      <patternFill patternType="solid">
        <fgColor rgb="FFC4C4C4"/>
      </patternFill>
    </fill>
    <fill>
      <patternFill patternType="solid">
        <fgColor rgb="FFC4C4C4"/>
      </patternFill>
    </fill>
    <fill>
      <patternFill patternType="solid">
        <fgColor rgb="FFC4C4C4"/>
      </patternFill>
    </fill>
    <fill>
      <patternFill patternType="solid">
        <fgColor rgb="FF00C875"/>
      </patternFill>
    </fill>
    <fill>
      <patternFill patternType="solid">
        <fgColor rgb="FF9CD326"/>
      </patternFill>
    </fill>
    <fill>
      <patternFill patternType="solid">
        <fgColor rgb="FF007EB5"/>
      </patternFill>
    </fill>
    <fill>
      <patternFill patternType="solid">
        <fgColor rgb="FFCAB641"/>
      </patternFill>
    </fill>
    <fill>
      <patternFill patternType="solid">
        <fgColor rgb="FF007EB5"/>
      </patternFill>
    </fill>
    <fill>
      <patternFill patternType="solid">
        <fgColor rgb="FF007EB5"/>
      </patternFill>
    </fill>
    <fill>
      <patternFill patternType="solid">
        <fgColor rgb="FF007EB5"/>
      </patternFill>
    </fill>
    <fill>
      <patternFill patternType="solid">
        <fgColor rgb="FF007EB5"/>
      </patternFill>
    </fill>
    <fill>
      <patternFill patternType="solid">
        <fgColor rgb="FF007EB5"/>
      </patternFill>
    </fill>
    <fill>
      <patternFill patternType="solid">
        <fgColor rgb="FF007EB5"/>
      </patternFill>
    </fill>
    <fill>
      <patternFill patternType="solid">
        <fgColor rgb="FFFDAB3D"/>
      </patternFill>
    </fill>
    <fill>
      <patternFill patternType="solid">
        <fgColor rgb="FFDF2F4A"/>
      </patternFill>
    </fill>
    <fill>
      <patternFill patternType="solid">
        <fgColor rgb="FFDF2F4A"/>
      </patternFill>
    </fill>
    <fill>
      <patternFill patternType="solid">
        <fgColor rgb="FF037F4C"/>
      </patternFill>
    </fill>
    <fill>
      <patternFill patternType="solid">
        <fgColor rgb="FFDF2F4A"/>
      </patternFill>
    </fill>
    <fill>
      <patternFill patternType="solid">
        <fgColor rgb="FFDF2F4A"/>
      </patternFill>
    </fill>
    <fill>
      <patternFill patternType="solid">
        <fgColor rgb="FFDF2F4A"/>
      </patternFill>
    </fill>
    <fill>
      <patternFill patternType="solid">
        <fgColor rgb="FFDF2F4A"/>
      </patternFill>
    </fill>
    <fill>
      <patternFill patternType="solid">
        <fgColor rgb="FF00C875"/>
      </patternFill>
    </fill>
    <fill>
      <patternFill patternType="solid">
        <fgColor rgb="FF00C875"/>
      </patternFill>
    </fill>
    <fill>
      <patternFill patternType="solid">
        <fgColor rgb="FFBB3354"/>
      </patternFill>
    </fill>
    <fill>
      <patternFill patternType="solid">
        <fgColor rgb="FF9CD326"/>
      </patternFill>
    </fill>
    <fill>
      <patternFill patternType="solid">
        <fgColor rgb="FFFFCB00"/>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C875"/>
      </patternFill>
    </fill>
    <fill>
      <patternFill patternType="solid">
        <fgColor rgb="FFDF2F4A"/>
      </patternFill>
    </fill>
    <fill>
      <patternFill patternType="solid">
        <fgColor rgb="FF9CD326"/>
      </patternFill>
    </fill>
    <fill>
      <patternFill patternType="solid">
        <fgColor rgb="FFCD9282"/>
      </patternFill>
    </fill>
    <fill>
      <patternFill patternType="solid">
        <fgColor rgb="FFFDAB3D"/>
      </patternFill>
    </fill>
    <fill>
      <patternFill patternType="solid">
        <fgColor rgb="FF037F4C"/>
      </patternFill>
    </fill>
    <fill>
      <patternFill patternType="solid">
        <fgColor rgb="FFFDAB3D"/>
      </patternFill>
    </fill>
    <fill>
      <patternFill patternType="solid">
        <fgColor rgb="FFDF2F4A"/>
      </patternFill>
    </fill>
    <fill>
      <patternFill patternType="solid">
        <fgColor rgb="FFDF2F4A"/>
      </patternFill>
    </fill>
    <fill>
      <patternFill patternType="solid">
        <fgColor rgb="FFFDAB3D"/>
      </patternFill>
    </fill>
    <fill>
      <patternFill patternType="solid">
        <fgColor rgb="FF00C875"/>
      </patternFill>
    </fill>
    <fill>
      <patternFill patternType="solid">
        <fgColor rgb="FF9D50DD"/>
      </patternFill>
    </fill>
    <fill>
      <patternFill patternType="solid">
        <fgColor rgb="FF007EB5"/>
      </patternFill>
    </fill>
    <fill>
      <patternFill patternType="solid">
        <fgColor rgb="FF579BFC"/>
      </patternFill>
    </fill>
    <fill>
      <patternFill patternType="solid">
        <fgColor rgb="FF579BFC"/>
      </patternFill>
    </fill>
    <fill>
      <patternFill patternType="solid">
        <fgColor rgb="FF579BFC"/>
      </patternFill>
    </fill>
    <fill>
      <patternFill patternType="solid">
        <fgColor rgb="FFC4C4C4"/>
      </patternFill>
    </fill>
    <fill>
      <patternFill patternType="solid">
        <fgColor rgb="FFFDAB3D"/>
      </patternFill>
    </fill>
    <fill>
      <patternFill patternType="solid">
        <fgColor rgb="FF9D50DD"/>
      </patternFill>
    </fill>
    <fill>
      <patternFill patternType="solid">
        <fgColor rgb="FF579BFC"/>
      </patternFill>
    </fill>
    <fill>
      <patternFill patternType="solid">
        <fgColor rgb="FFC4C4C4"/>
      </patternFill>
    </fill>
    <fill>
      <patternFill patternType="solid">
        <fgColor rgb="FF037F4C"/>
      </patternFill>
    </fill>
    <fill>
      <patternFill patternType="solid">
        <fgColor rgb="FFC4C4C4"/>
      </patternFill>
    </fill>
    <fill>
      <patternFill patternType="solid">
        <fgColor rgb="FF007EB5"/>
      </patternFill>
    </fill>
    <fill>
      <patternFill patternType="solid">
        <fgColor rgb="FFFDAB3D"/>
      </patternFill>
    </fill>
    <fill>
      <patternFill patternType="solid">
        <fgColor rgb="FFC4C4C4"/>
      </patternFill>
    </fill>
    <fill>
      <patternFill patternType="solid">
        <fgColor rgb="FF007EB5"/>
      </patternFill>
    </fill>
    <fill>
      <patternFill patternType="solid">
        <fgColor rgb="FF007EB5"/>
      </patternFill>
    </fill>
    <fill>
      <patternFill patternType="solid">
        <fgColor rgb="FFDF2F4A"/>
      </patternFill>
    </fill>
    <fill>
      <patternFill patternType="solid">
        <fgColor rgb="FFDF2F4A"/>
      </patternFill>
    </fill>
    <fill>
      <patternFill patternType="solid">
        <fgColor rgb="FFCAB641"/>
      </patternFill>
    </fill>
    <fill>
      <patternFill patternType="solid">
        <fgColor rgb="FF9CD326"/>
      </patternFill>
    </fill>
    <fill>
      <patternFill patternType="solid">
        <fgColor rgb="FF037F4C"/>
      </patternFill>
    </fill>
    <fill>
      <patternFill patternType="solid">
        <fgColor rgb="FF9D50DD"/>
      </patternFill>
    </fill>
    <fill>
      <patternFill patternType="solid">
        <fgColor rgb="FF9D50DD"/>
      </patternFill>
    </fill>
    <fill>
      <patternFill patternType="solid">
        <fgColor rgb="FFC4C4C4"/>
      </patternFill>
    </fill>
    <fill>
      <patternFill patternType="solid">
        <fgColor rgb="FFC4C4C4"/>
      </patternFill>
    </fill>
    <fill>
      <patternFill patternType="solid">
        <fgColor rgb="FFFDAB3D"/>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00C875"/>
      </patternFill>
    </fill>
    <fill>
      <patternFill patternType="solid">
        <fgColor rgb="FFFAA1F1"/>
      </patternFill>
    </fill>
    <fill>
      <patternFill patternType="solid">
        <fgColor rgb="FF00C875"/>
      </patternFill>
    </fill>
    <fill>
      <patternFill patternType="solid">
        <fgColor rgb="FF9CD326"/>
      </patternFill>
    </fill>
    <fill>
      <patternFill patternType="solid">
        <fgColor rgb="FFC4C4C4"/>
      </patternFill>
    </fill>
    <fill>
      <patternFill patternType="solid">
        <fgColor rgb="FF66CCFF"/>
      </patternFill>
    </fill>
    <fill>
      <patternFill patternType="solid">
        <fgColor rgb="FFCAB641"/>
      </patternFill>
    </fill>
    <fill>
      <patternFill patternType="solid">
        <fgColor rgb="FF579BFC"/>
      </patternFill>
    </fill>
    <fill>
      <patternFill patternType="solid">
        <fgColor rgb="FFEFEFEF"/>
      </patternFill>
    </fill>
    <fill>
      <patternFill patternType="solid">
        <fgColor rgb="FF00C875"/>
      </patternFill>
    </fill>
    <fill>
      <patternFill patternType="solid">
        <fgColor rgb="FF00C875"/>
      </patternFill>
    </fill>
    <fill>
      <patternFill patternType="solid">
        <fgColor rgb="FF9D50DD"/>
      </patternFill>
    </fill>
    <fill>
      <patternFill patternType="solid">
        <fgColor rgb="FF00C875"/>
      </patternFill>
    </fill>
    <fill>
      <patternFill patternType="solid">
        <fgColor rgb="FF00C875"/>
      </patternFill>
    </fill>
    <fill>
      <patternFill patternType="solid">
        <fgColor rgb="FF9D50DD"/>
      </patternFill>
    </fill>
    <fill>
      <patternFill patternType="solid">
        <fgColor rgb="FF66CCFF"/>
      </patternFill>
    </fill>
    <fill>
      <patternFill patternType="solid">
        <fgColor rgb="FFE484BD"/>
      </patternFill>
    </fill>
    <fill>
      <patternFill patternType="solid">
        <fgColor rgb="FFFFADAD"/>
      </patternFill>
    </fill>
    <fill>
      <patternFill patternType="solid">
        <fgColor rgb="FFFDAB3D"/>
      </patternFill>
    </fill>
    <fill>
      <patternFill patternType="solid">
        <fgColor rgb="FFFDAB3D"/>
      </patternFill>
    </fill>
    <fill>
      <patternFill patternType="solid">
        <fgColor rgb="FF579BFC"/>
      </patternFill>
    </fill>
    <fill>
      <patternFill patternType="solid">
        <fgColor rgb="FF66CCFF"/>
      </patternFill>
    </fill>
    <fill>
      <patternFill patternType="solid">
        <fgColor rgb="FF037F4C"/>
      </patternFill>
    </fill>
    <fill>
      <patternFill patternType="solid">
        <fgColor rgb="FFEFEFEF"/>
      </patternFill>
    </fill>
  </fills>
  <borders count="108">
    <border/>
    <border>
      <left style="thin">
        <color rgb="FF000000"/>
      </left>
      <right style="thin">
        <color rgb="FF000000"/>
      </right>
      <top style="thin">
        <color rgb="FF000000"/>
      </top>
      <bottom style="thin">
        <color rgb="FF000000"/>
      </bottom>
    </border>
    <border>
      <left style="thick">
        <color rgb="FFCE3048"/>
      </left>
      <right style="thick">
        <color rgb="FFCE3048"/>
      </right>
      <top style="thick">
        <color rgb="FFCE3048"/>
      </top>
      <bottom style="thick">
        <color rgb="FFCE3048"/>
      </bottom>
    </border>
    <border>
      <left style="thick">
        <color rgb="FF89B921"/>
      </left>
      <right style="thick">
        <color rgb="FF89B921"/>
      </right>
      <top style="thick">
        <color rgb="FF89B921"/>
      </top>
      <bottom style="thick">
        <color rgb="FF89B921"/>
      </bottom>
    </border>
    <border>
      <left style="thick">
        <color rgb="FF00B461"/>
      </left>
      <right style="thick">
        <color rgb="FF00B461"/>
      </right>
      <top style="thick">
        <color rgb="FF00B461"/>
      </top>
      <bottom style="thick">
        <color rgb="FF00B461"/>
      </bottom>
    </border>
    <border>
      <left style="thick">
        <color rgb="FF4387E8"/>
      </left>
      <right style="thick">
        <color rgb="FF4387E8"/>
      </right>
      <top style="thick">
        <color rgb="FF4387E8"/>
      </top>
      <bottom style="thick">
        <color rgb="FF4387E8"/>
      </bottom>
    </border>
    <border>
      <left style="thick">
        <color rgb="FF89B921"/>
      </left>
      <right style="thick">
        <color rgb="FF89B921"/>
      </right>
      <top style="thick">
        <color rgb="FF89B921"/>
      </top>
      <bottom style="thick">
        <color rgb="FF89B921"/>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CE3048"/>
      </left>
      <right style="thick">
        <color rgb="FFCE3048"/>
      </right>
      <top style="thick">
        <color rgb="FFCE3048"/>
      </top>
      <bottom style="thick">
        <color rgb="FFCE3048"/>
      </bottom>
    </border>
    <border>
      <left style="thick">
        <color rgb="FF006B38"/>
      </left>
      <right style="thick">
        <color rgb="FF006B38"/>
      </right>
      <top style="thick">
        <color rgb="FF006B38"/>
      </top>
      <bottom style="thick">
        <color rgb="FF006B38"/>
      </bottom>
    </border>
    <border>
      <left style="thick">
        <color rgb="FFCE3048"/>
      </left>
      <right style="thick">
        <color rgb="FFCE3048"/>
      </right>
      <top style="thick">
        <color rgb="FFCE3048"/>
      </top>
      <bottom style="thick">
        <color rgb="FFCE3048"/>
      </bottom>
    </border>
    <border>
      <left style="thick">
        <color rgb="FF006B38"/>
      </left>
      <right style="thick">
        <color rgb="FF006B38"/>
      </right>
      <top style="thick">
        <color rgb="FF006B38"/>
      </top>
      <bottom style="thick">
        <color rgb="FF006B38"/>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89B921"/>
      </left>
      <right style="thick">
        <color rgb="FF89B921"/>
      </right>
      <top style="thick">
        <color rgb="FF89B921"/>
      </top>
      <bottom style="thick">
        <color rgb="FF89B921"/>
      </bottom>
    </border>
    <border>
      <left style="thick">
        <color rgb="FF3DB0DF"/>
      </left>
      <right style="thick">
        <color rgb="FF3DB0DF"/>
      </right>
      <top style="thick">
        <color rgb="FF3DB0DF"/>
      </top>
      <bottom style="thick">
        <color rgb="FF3DB0DF"/>
      </bottom>
    </border>
    <border>
      <left style="thick">
        <color rgb="FFC0AB31"/>
      </left>
      <right style="thick">
        <color rgb="FFC0AB31"/>
      </right>
      <top style="thick">
        <color rgb="FFC0AB31"/>
      </top>
      <bottom style="thick">
        <color rgb="FFC0AB31"/>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E99729"/>
      </left>
      <right style="thick">
        <color rgb="FFE99729"/>
      </right>
      <top style="thick">
        <color rgb="FFE99729"/>
      </top>
      <bottom style="thick">
        <color rgb="FFE99729"/>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006B38"/>
      </left>
      <right style="thick">
        <color rgb="FF006B38"/>
      </right>
      <top style="thick">
        <color rgb="FF006B38"/>
      </top>
      <bottom style="thick">
        <color rgb="FF006B38"/>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A42D4A"/>
      </left>
      <right style="thick">
        <color rgb="FFA42D4A"/>
      </right>
      <top style="thick">
        <color rgb="FFA42D4A"/>
      </top>
      <bottom style="thick">
        <color rgb="FFA42D4A"/>
      </bottom>
    </border>
    <border>
      <left style="thick">
        <color rgb="FF89B921"/>
      </left>
      <right style="thick">
        <color rgb="FF89B921"/>
      </right>
      <top style="thick">
        <color rgb="FF89B921"/>
      </top>
      <bottom style="thick">
        <color rgb="FF89B921"/>
      </bottom>
    </border>
    <border>
      <left style="thick">
        <color rgb="FFC0AB1B"/>
      </left>
      <right style="thick">
        <color rgb="FFC0AB1B"/>
      </right>
      <top style="thick">
        <color rgb="FFC0AB1B"/>
      </top>
      <bottom style="thick">
        <color rgb="FFC0AB1B"/>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CE3048"/>
      </left>
      <right style="thick">
        <color rgb="FFCE3048"/>
      </right>
      <top style="thick">
        <color rgb="FFCE3048"/>
      </top>
      <bottom style="thick">
        <color rgb="FFCE3048"/>
      </bottom>
    </border>
    <border>
      <left style="thick">
        <color rgb="FF89B921"/>
      </left>
      <right style="thick">
        <color rgb="FF89B921"/>
      </right>
      <top style="thick">
        <color rgb="FF89B921"/>
      </top>
      <bottom style="thick">
        <color rgb="FF89B921"/>
      </bottom>
    </border>
    <border>
      <left style="thick">
        <color rgb="FFCD9282"/>
      </left>
      <right style="thick">
        <color rgb="FFCD9282"/>
      </right>
      <top style="thick">
        <color rgb="FFCD9282"/>
      </top>
      <bottom style="thick">
        <color rgb="FFCD9282"/>
      </bottom>
    </border>
    <border>
      <left style="thick">
        <color rgb="FFE99729"/>
      </left>
      <right style="thick">
        <color rgb="FFE99729"/>
      </right>
      <top style="thick">
        <color rgb="FFE99729"/>
      </top>
      <bottom style="thick">
        <color rgb="FFE99729"/>
      </bottom>
    </border>
    <border>
      <left style="thick">
        <color rgb="FF006B38"/>
      </left>
      <right style="thick">
        <color rgb="FF006B38"/>
      </right>
      <top style="thick">
        <color rgb="FF006B38"/>
      </top>
      <bottom style="thick">
        <color rgb="FF006B38"/>
      </bottom>
    </border>
    <border>
      <left style="thick">
        <color rgb="FFE99729"/>
      </left>
      <right style="thick">
        <color rgb="FFE99729"/>
      </right>
      <top style="thick">
        <color rgb="FFE99729"/>
      </top>
      <bottom style="thick">
        <color rgb="FFE99729"/>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9238AF"/>
      </left>
      <right style="thick">
        <color rgb="FF9238AF"/>
      </right>
      <top style="thick">
        <color rgb="FF9238AF"/>
      </top>
      <bottom style="thick">
        <color rgb="FF9238AF"/>
      </bottom>
    </border>
    <border>
      <left style="thick">
        <color rgb="FF3DB0DF"/>
      </left>
      <right style="thick">
        <color rgb="FF3DB0DF"/>
      </right>
      <top style="thick">
        <color rgb="FF3DB0DF"/>
      </top>
      <bottom style="thick">
        <color rgb="FF3DB0DF"/>
      </bottom>
    </border>
    <border>
      <left style="thick">
        <color rgb="FF4387E8"/>
      </left>
      <right style="thick">
        <color rgb="FF4387E8"/>
      </right>
      <top style="thick">
        <color rgb="FF4387E8"/>
      </top>
      <bottom style="thick">
        <color rgb="FF4387E8"/>
      </bottom>
    </border>
    <border>
      <left style="thick">
        <color rgb="FF4387E8"/>
      </left>
      <right style="thick">
        <color rgb="FF4387E8"/>
      </right>
      <top style="thick">
        <color rgb="FF4387E8"/>
      </top>
      <bottom style="thick">
        <color rgb="FF4387E8"/>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E99729"/>
      </left>
      <right style="thick">
        <color rgb="FFE99729"/>
      </right>
      <top style="thick">
        <color rgb="FFE99729"/>
      </top>
      <bottom style="thick">
        <color rgb="FFE99729"/>
      </bottom>
    </border>
    <border>
      <left style="thick">
        <color rgb="FF9238AF"/>
      </left>
      <right style="thick">
        <color rgb="FF9238AF"/>
      </right>
      <top style="thick">
        <color rgb="FF9238AF"/>
      </top>
      <bottom style="thick">
        <color rgb="FF9238AF"/>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006B38"/>
      </left>
      <right style="thick">
        <color rgb="FF006B38"/>
      </right>
      <top style="thick">
        <color rgb="FF006B38"/>
      </top>
      <bottom style="thick">
        <color rgb="FF006B38"/>
      </bottom>
    </border>
    <border>
      <left style="thick">
        <color rgb="FFB0B0B0"/>
      </left>
      <right style="thick">
        <color rgb="FFB0B0B0"/>
      </right>
      <top style="thick">
        <color rgb="FFB0B0B0"/>
      </top>
      <bottom style="thick">
        <color rgb="FFB0B0B0"/>
      </bottom>
    </border>
    <border>
      <left style="thick">
        <color rgb="FF3DB0DF"/>
      </left>
      <right style="thick">
        <color rgb="FF3DB0DF"/>
      </right>
      <top style="thick">
        <color rgb="FF3DB0DF"/>
      </top>
      <bottom style="thick">
        <color rgb="FF3DB0DF"/>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
      <left style="thick">
        <color rgb="FF3DB0DF"/>
      </left>
      <right style="thick">
        <color rgb="FF3DB0DF"/>
      </right>
      <top style="thick">
        <color rgb="FF3DB0DF"/>
      </top>
      <bottom style="thick">
        <color rgb="FF3DB0DF"/>
      </bottom>
    </border>
    <border>
      <left style="thick">
        <color rgb="FF3DB0DF"/>
      </left>
      <right style="thick">
        <color rgb="FF3DB0DF"/>
      </right>
      <top style="thick">
        <color rgb="FF3DB0DF"/>
      </top>
      <bottom style="thick">
        <color rgb="FF3DB0DF"/>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C0AB31"/>
      </left>
      <right style="thick">
        <color rgb="FFC0AB31"/>
      </right>
      <top style="thick">
        <color rgb="FFC0AB31"/>
      </top>
      <bottom style="thick">
        <color rgb="FFC0AB31"/>
      </bottom>
    </border>
    <border>
      <left style="thick">
        <color rgb="FF89B921"/>
      </left>
      <right style="thick">
        <color rgb="FF89B921"/>
      </right>
      <top style="thick">
        <color rgb="FF89B921"/>
      </top>
      <bottom style="thick">
        <color rgb="FF89B921"/>
      </bottom>
    </border>
    <border>
      <left style="thick">
        <color rgb="FF006B38"/>
      </left>
      <right style="thick">
        <color rgb="FF006B38"/>
      </right>
      <top style="thick">
        <color rgb="FF006B38"/>
      </top>
      <bottom style="thick">
        <color rgb="FF006B38"/>
      </bottom>
    </border>
    <border>
      <left style="thick">
        <color rgb="FF9238AF"/>
      </left>
      <right style="thick">
        <color rgb="FF9238AF"/>
      </right>
      <top style="thick">
        <color rgb="FF9238AF"/>
      </top>
      <bottom style="thick">
        <color rgb="FF9238AF"/>
      </bottom>
    </border>
    <border>
      <left style="thick">
        <color rgb="FF9238AF"/>
      </left>
      <right style="thick">
        <color rgb="FF9238AF"/>
      </right>
      <top style="thick">
        <color rgb="FF9238AF"/>
      </top>
      <bottom style="thick">
        <color rgb="FF9238AF"/>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E99729"/>
      </left>
      <right style="thick">
        <color rgb="FFE99729"/>
      </right>
      <top style="thick">
        <color rgb="FFE99729"/>
      </top>
      <bottom style="thick">
        <color rgb="FFE99729"/>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FAA1F1"/>
      </left>
      <right style="thick">
        <color rgb="FFFAA1F1"/>
      </right>
      <top style="thick">
        <color rgb="FFFAA1F1"/>
      </top>
      <bottom style="thick">
        <color rgb="FFFAA1F1"/>
      </bottom>
    </border>
    <border>
      <left style="thick">
        <color rgb="FF00B461"/>
      </left>
      <right style="thick">
        <color rgb="FF00B461"/>
      </right>
      <top style="thick">
        <color rgb="FF00B461"/>
      </top>
      <bottom style="thick">
        <color rgb="FF00B461"/>
      </bottom>
    </border>
    <border>
      <left style="thick">
        <color rgb="FF89B921"/>
      </left>
      <right style="thick">
        <color rgb="FF89B921"/>
      </right>
      <top style="thick">
        <color rgb="FF89B921"/>
      </top>
      <bottom style="thick">
        <color rgb="FF89B921"/>
      </bottom>
    </border>
    <border>
      <left style="thick">
        <color rgb="FFB0B0B0"/>
      </left>
      <right style="thick">
        <color rgb="FFB0B0B0"/>
      </right>
      <top style="thick">
        <color rgb="FFB0B0B0"/>
      </top>
      <bottom style="thick">
        <color rgb="FFB0B0B0"/>
      </bottom>
    </border>
    <border>
      <left style="thick">
        <color rgb="FF5AB3E0"/>
      </left>
      <right style="thick">
        <color rgb="FF5AB3E0"/>
      </right>
      <top style="thick">
        <color rgb="FF5AB3E0"/>
      </top>
      <bottom style="thick">
        <color rgb="FF5AB3E0"/>
      </bottom>
    </border>
    <border>
      <left style="thick">
        <color rgb="FFC0AB31"/>
      </left>
      <right style="thick">
        <color rgb="FFC0AB31"/>
      </right>
      <top style="thick">
        <color rgb="FFC0AB31"/>
      </top>
      <bottom style="thick">
        <color rgb="FFC0AB31"/>
      </bottom>
    </border>
    <border>
      <left style="thick">
        <color rgb="FF4387E8"/>
      </left>
      <right style="thick">
        <color rgb="FF4387E8"/>
      </right>
      <top style="thick">
        <color rgb="FF4387E8"/>
      </top>
      <bottom style="thick">
        <color rgb="FF4387E8"/>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9238AF"/>
      </left>
      <right style="thick">
        <color rgb="FF9238AF"/>
      </right>
      <top style="thick">
        <color rgb="FF9238AF"/>
      </top>
      <bottom style="thick">
        <color rgb="FF9238AF"/>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9238AF"/>
      </left>
      <right style="thick">
        <color rgb="FF9238AF"/>
      </right>
      <top style="thick">
        <color rgb="FF9238AF"/>
      </top>
      <bottom style="thick">
        <color rgb="FF9238AF"/>
      </bottom>
    </border>
    <border>
      <left style="thick">
        <color rgb="FF5AB3E0"/>
      </left>
      <right style="thick">
        <color rgb="FF5AB3E0"/>
      </right>
      <top style="thick">
        <color rgb="FF5AB3E0"/>
      </top>
      <bottom style="thick">
        <color rgb="FF5AB3E0"/>
      </bottom>
    </border>
    <border>
      <left style="thick">
        <color rgb="FFE484BD"/>
      </left>
      <right style="thick">
        <color rgb="FFE484BD"/>
      </right>
      <top style="thick">
        <color rgb="FFE484BD"/>
      </top>
      <bottom style="thick">
        <color rgb="FFE484BD"/>
      </bottom>
    </border>
    <border>
      <left style="thick">
        <color rgb="FFFFADAD"/>
      </left>
      <right style="thick">
        <color rgb="FFFFADAD"/>
      </right>
      <top style="thick">
        <color rgb="FFFFADAD"/>
      </top>
      <bottom style="thick">
        <color rgb="FFFFADAD"/>
      </bottom>
    </border>
    <border>
      <left style="thick">
        <color rgb="FFE99729"/>
      </left>
      <right style="thick">
        <color rgb="FFE99729"/>
      </right>
      <top style="thick">
        <color rgb="FFE99729"/>
      </top>
      <bottom style="thick">
        <color rgb="FFE99729"/>
      </bottom>
    </border>
    <border>
      <left style="thick">
        <color rgb="FFE99729"/>
      </left>
      <right style="thick">
        <color rgb="FFE99729"/>
      </right>
      <top style="thick">
        <color rgb="FFE99729"/>
      </top>
      <bottom style="thick">
        <color rgb="FFE99729"/>
      </bottom>
    </border>
    <border>
      <left style="thick">
        <color rgb="FF4387E8"/>
      </left>
      <right style="thick">
        <color rgb="FF4387E8"/>
      </right>
      <top style="thick">
        <color rgb="FF4387E8"/>
      </top>
      <bottom style="thick">
        <color rgb="FF4387E8"/>
      </bottom>
    </border>
    <border>
      <left style="thick">
        <color rgb="FF5AB3E0"/>
      </left>
      <right style="thick">
        <color rgb="FF5AB3E0"/>
      </right>
      <top style="thick">
        <color rgb="FF5AB3E0"/>
      </top>
      <bottom style="thick">
        <color rgb="FF5AB3E0"/>
      </bottom>
    </border>
    <border>
      <left style="thick">
        <color rgb="FF006B38"/>
      </left>
      <right style="thick">
        <color rgb="FF006B38"/>
      </right>
      <top style="thick">
        <color rgb="FF006B38"/>
      </top>
      <bottom style="thick">
        <color rgb="FF006B38"/>
      </bottom>
    </border>
  </borders>
  <cellStyleXfs count="1">
    <xf borderId="0" numFmtId="0" fontId="0" fillId="0"/>
  </cellStyleXfs>
  <cellXfs count="131">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8" numFmtId="0" fontId="16" fillId="13" applyNumberFormat="0" applyFill="1" applyFont="1" applyBorder="1" applyAlignment="1" applyProtection="0">
      <alignment horizontal="center" vertical="center"/>
    </xf>
    <xf borderId="9" numFmtId="0" fontId="17" fillId="14" applyNumberFormat="0" applyFill="1" applyFont="1" applyBorder="1" applyAlignment="1" applyProtection="0">
      <alignment horizontal="center" vertical="center"/>
    </xf>
    <xf borderId="10" numFmtId="0" fontId="18" fillId="15" applyNumberFormat="0" applyFill="1" applyFont="1" applyBorder="1" applyAlignment="1" applyProtection="0">
      <alignment horizontal="center" vertical="center"/>
    </xf>
    <xf borderId="11" numFmtId="0" fontId="19" fillId="16" applyNumberFormat="0" applyFill="1" applyFont="1" applyBorder="1" applyAlignment="1" applyProtection="0">
      <alignment horizontal="center" vertical="center"/>
    </xf>
    <xf borderId="12" numFmtId="0" fontId="20" fillId="17" applyNumberFormat="0" applyFill="1" applyFont="1" applyBorder="1" applyAlignment="1" applyProtection="0">
      <alignment horizontal="center" vertical="center"/>
    </xf>
    <xf borderId="13" numFmtId="0" fontId="21" fillId="18" applyNumberFormat="0" applyFill="1" applyFont="1" applyBorder="1" applyAlignment="1" applyProtection="0">
      <alignment horizontal="center" vertical="center"/>
    </xf>
    <xf borderId="14" numFmtId="0" fontId="22" fillId="19" applyNumberFormat="0" applyFill="1" applyFont="1" applyBorder="1" applyAlignment="1" applyProtection="0">
      <alignment horizontal="center" vertical="center"/>
    </xf>
    <xf borderId="15" numFmtId="0" fontId="23" fillId="20" applyNumberFormat="0" applyFill="1" applyFont="1" applyBorder="1" applyAlignment="1" applyProtection="0">
      <alignment horizontal="center" vertical="center"/>
    </xf>
    <xf borderId="16" numFmtId="0" fontId="24" fillId="21" applyNumberFormat="0" applyFill="1" applyFont="1" applyBorder="1" applyAlignment="1" applyProtection="0">
      <alignment horizontal="center" vertical="center"/>
    </xf>
    <xf borderId="17" numFmtId="0" fontId="25" fillId="22" applyNumberFormat="0" applyFill="1" applyFont="1" applyBorder="1" applyAlignment="1" applyProtection="0">
      <alignment horizontal="center" vertical="center"/>
    </xf>
    <xf borderId="18" numFmtId="0" fontId="26" fillId="23" applyNumberFormat="0" applyFill="1" applyFont="1" applyBorder="1" applyAlignment="1" applyProtection="0">
      <alignment horizontal="center" vertical="center"/>
    </xf>
    <xf borderId="19" numFmtId="0" fontId="27" fillId="24" applyNumberFormat="0" applyFill="1" applyFont="1" applyBorder="1" applyAlignment="1" applyProtection="0">
      <alignment horizontal="center" vertical="center"/>
    </xf>
    <xf borderId="20" numFmtId="0" fontId="28" fillId="25" applyNumberFormat="0" applyFill="1" applyFont="1" applyBorder="1" applyAlignment="1" applyProtection="0">
      <alignment horizontal="center" vertical="center"/>
    </xf>
    <xf borderId="21" numFmtId="0" fontId="29" fillId="26" applyNumberFormat="0" applyFill="1" applyFont="1" applyBorder="1" applyAlignment="1" applyProtection="0">
      <alignment horizontal="center" vertical="center"/>
    </xf>
    <xf borderId="22" numFmtId="0" fontId="30" fillId="27" applyNumberFormat="0" applyFill="1" applyFont="1" applyBorder="1" applyAlignment="1" applyProtection="0">
      <alignment horizontal="center" vertical="center"/>
    </xf>
    <xf borderId="23" numFmtId="0" fontId="31" fillId="28" applyNumberFormat="0" applyFill="1" applyFont="1" applyBorder="1" applyAlignment="1" applyProtection="0">
      <alignment horizontal="center" vertical="center"/>
    </xf>
    <xf borderId="24" numFmtId="0" fontId="32" fillId="29" applyNumberFormat="0" applyFill="1" applyFont="1" applyBorder="1" applyAlignment="1" applyProtection="0">
      <alignment horizontal="center" vertical="center"/>
    </xf>
    <xf borderId="25" numFmtId="0" fontId="33" fillId="30" applyNumberFormat="0" applyFill="1" applyFont="1" applyBorder="1" applyAlignment="1" applyProtection="0">
      <alignment horizontal="center" vertical="center"/>
    </xf>
    <xf borderId="26" numFmtId="0" fontId="34" fillId="31" applyNumberFormat="0" applyFill="1" applyFont="1" applyBorder="1" applyAlignment="1" applyProtection="0">
      <alignment horizontal="center" vertical="center"/>
    </xf>
    <xf borderId="27" numFmtId="0" fontId="35" fillId="32" applyNumberFormat="0" applyFill="1" applyFont="1" applyBorder="1" applyAlignment="1" applyProtection="0">
      <alignment horizontal="center" vertical="center"/>
    </xf>
    <xf borderId="28" numFmtId="0" fontId="36" fillId="33" applyNumberFormat="0" applyFill="1" applyFont="1" applyBorder="1" applyAlignment="1" applyProtection="0">
      <alignment horizontal="center" vertical="center"/>
    </xf>
    <xf borderId="29" numFmtId="0" fontId="37" fillId="34" applyNumberFormat="0" applyFill="1" applyFont="1" applyBorder="1" applyAlignment="1" applyProtection="0">
      <alignment horizontal="center" vertical="center"/>
    </xf>
    <xf borderId="30" numFmtId="0" fontId="38" fillId="35" applyNumberFormat="0" applyFill="1" applyFont="1" applyBorder="1" applyAlignment="1" applyProtection="0">
      <alignment horizontal="center" vertical="center"/>
    </xf>
    <xf borderId="31" numFmtId="0" fontId="39" fillId="36" applyNumberFormat="0" applyFill="1" applyFont="1" applyBorder="1" applyAlignment="1" applyProtection="0">
      <alignment horizontal="center" vertical="center"/>
    </xf>
    <xf borderId="32" numFmtId="0" fontId="40" fillId="37" applyNumberFormat="0" applyFill="1" applyFont="1" applyBorder="1" applyAlignment="1" applyProtection="0">
      <alignment horizontal="center" vertical="center"/>
    </xf>
    <xf borderId="33" numFmtId="0" fontId="41" fillId="38" applyNumberFormat="0" applyFill="1" applyFont="1" applyBorder="1" applyAlignment="1" applyProtection="0">
      <alignment horizontal="center" vertical="center"/>
    </xf>
    <xf borderId="34" numFmtId="0" fontId="42" fillId="39" applyNumberFormat="0" applyFill="1" applyFont="1" applyBorder="1" applyAlignment="1" applyProtection="0">
      <alignment horizontal="center" vertical="center"/>
    </xf>
    <xf borderId="35" numFmtId="0" fontId="43" fillId="40" applyNumberFormat="0" applyFill="1" applyFont="1" applyBorder="1" applyAlignment="1" applyProtection="0">
      <alignment horizontal="center" vertical="center"/>
    </xf>
    <xf borderId="36" numFmtId="0" fontId="44" fillId="41" applyNumberFormat="0" applyFill="1" applyFont="1" applyBorder="1" applyAlignment="1" applyProtection="0">
      <alignment horizontal="center" vertical="center"/>
    </xf>
    <xf borderId="37" numFmtId="0" fontId="45" fillId="42" applyNumberFormat="0" applyFill="1" applyFont="1" applyBorder="1" applyAlignment="1" applyProtection="0">
      <alignment horizontal="center" vertical="center"/>
    </xf>
    <xf borderId="38" numFmtId="0" fontId="46" fillId="43" applyNumberFormat="0" applyFill="1" applyFont="1" applyBorder="1" applyAlignment="1" applyProtection="0">
      <alignment horizontal="center" vertical="center"/>
    </xf>
    <xf borderId="39" numFmtId="0" fontId="47" fillId="44" applyNumberFormat="0" applyFill="1" applyFont="1" applyBorder="1" applyAlignment="1" applyProtection="0">
      <alignment horizontal="center" vertical="center"/>
    </xf>
    <xf borderId="40" numFmtId="0" fontId="48" fillId="45" applyNumberFormat="0" applyFill="1" applyFont="1" applyBorder="1" applyAlignment="1" applyProtection="0">
      <alignment horizontal="center" vertical="center"/>
    </xf>
    <xf borderId="41" numFmtId="0" fontId="49" fillId="46" applyNumberFormat="0" applyFill="1" applyFont="1" applyBorder="1" applyAlignment="1" applyProtection="0">
      <alignment horizontal="center" vertical="center"/>
    </xf>
    <xf borderId="42" numFmtId="0" fontId="50" fillId="47" applyNumberFormat="0" applyFill="1" applyFont="1" applyBorder="1" applyAlignment="1" applyProtection="0">
      <alignment horizontal="center" vertical="center"/>
    </xf>
    <xf borderId="43" numFmtId="0" fontId="51" fillId="48" applyNumberFormat="0" applyFill="1" applyFont="1" applyBorder="1" applyAlignment="1" applyProtection="0">
      <alignment horizontal="center" vertical="center"/>
    </xf>
    <xf borderId="44" numFmtId="0" fontId="52" fillId="49" applyNumberFormat="0" applyFill="1" applyFont="1" applyBorder="1" applyAlignment="1" applyProtection="0">
      <alignment horizontal="center" vertical="center"/>
    </xf>
    <xf borderId="45" numFmtId="0" fontId="53" fillId="50" applyNumberFormat="0" applyFill="1" applyFont="1" applyBorder="1" applyAlignment="1" applyProtection="0">
      <alignment horizontal="center" vertical="center"/>
    </xf>
    <xf borderId="46" numFmtId="0" fontId="54" fillId="51" applyNumberFormat="0" applyFill="1" applyFont="1" applyBorder="1" applyAlignment="1" applyProtection="0">
      <alignment horizontal="center" vertical="center"/>
    </xf>
    <xf borderId="47" numFmtId="0" fontId="55" fillId="52" applyNumberFormat="0" applyFill="1" applyFont="1" applyBorder="1" applyAlignment="1" applyProtection="0">
      <alignment horizontal="center" vertical="center"/>
    </xf>
    <xf borderId="48" numFmtId="0" fontId="56" fillId="53" applyNumberFormat="0" applyFill="1" applyFont="1" applyBorder="1" applyAlignment="1" applyProtection="0">
      <alignment horizontal="center" vertical="center"/>
    </xf>
    <xf borderId="49" numFmtId="0" fontId="57" fillId="54" applyNumberFormat="0" applyFill="1" applyFont="1" applyBorder="1" applyAlignment="1" applyProtection="0">
      <alignment horizontal="center" vertical="center"/>
    </xf>
    <xf borderId="50" numFmtId="0" fontId="58" fillId="55" applyNumberFormat="0" applyFill="1" applyFont="1" applyBorder="1" applyAlignment="1" applyProtection="0">
      <alignment horizontal="center" vertical="center"/>
    </xf>
    <xf borderId="51" numFmtId="0" fontId="59" fillId="56" applyNumberFormat="0" applyFill="1" applyFont="1" applyBorder="1" applyAlignment="1" applyProtection="0">
      <alignment horizontal="center" vertical="center"/>
    </xf>
    <xf borderId="52" numFmtId="0" fontId="60" fillId="57" applyNumberFormat="0" applyFill="1" applyFont="1" applyBorder="1" applyAlignment="1" applyProtection="0">
      <alignment horizontal="center" vertical="center"/>
    </xf>
    <xf borderId="53" numFmtId="0" fontId="61" fillId="58" applyNumberFormat="0" applyFill="1" applyFont="1" applyBorder="1" applyAlignment="1" applyProtection="0">
      <alignment horizontal="center" vertical="center"/>
    </xf>
    <xf borderId="54" numFmtId="0" fontId="62" fillId="59" applyNumberFormat="0" applyFill="1" applyFont="1" applyBorder="1" applyAlignment="1" applyProtection="0">
      <alignment horizontal="center" vertical="center"/>
    </xf>
    <xf borderId="55" numFmtId="0" fontId="63" fillId="60" applyNumberFormat="0" applyFill="1" applyFont="1" applyBorder="1" applyAlignment="1" applyProtection="0">
      <alignment horizontal="center" vertical="center"/>
    </xf>
    <xf borderId="56" numFmtId="0" fontId="64" fillId="61" applyNumberFormat="0" applyFill="1" applyFont="1" applyBorder="1" applyAlignment="1" applyProtection="0">
      <alignment horizontal="center" vertical="center"/>
    </xf>
    <xf borderId="57" numFmtId="0" fontId="65" fillId="62" applyNumberFormat="0" applyFill="1" applyFont="1" applyBorder="1" applyAlignment="1" applyProtection="0">
      <alignment horizontal="center" vertical="center"/>
    </xf>
    <xf borderId="58" numFmtId="0" fontId="66" fillId="63" applyNumberFormat="0" applyFill="1" applyFont="1" applyBorder="1" applyAlignment="1" applyProtection="0">
      <alignment horizontal="center" vertical="center"/>
    </xf>
    <xf borderId="59" numFmtId="0" fontId="67" fillId="64" applyNumberFormat="0" applyFill="1" applyFont="1" applyBorder="1" applyAlignment="1" applyProtection="0">
      <alignment horizontal="center" vertical="center"/>
    </xf>
    <xf borderId="60" numFmtId="0" fontId="68" fillId="65" applyNumberFormat="0" applyFill="1" applyFont="1" applyBorder="1" applyAlignment="1" applyProtection="0">
      <alignment horizontal="center" vertical="center"/>
    </xf>
    <xf borderId="61" numFmtId="0" fontId="69" fillId="66" applyNumberFormat="0" applyFill="1" applyFont="1" applyBorder="1" applyAlignment="1" applyProtection="0">
      <alignment horizontal="center" vertical="center"/>
    </xf>
    <xf borderId="62" numFmtId="0" fontId="70" fillId="67" applyNumberFormat="0" applyFill="1" applyFont="1" applyBorder="1" applyAlignment="1" applyProtection="0">
      <alignment horizontal="center" vertical="center"/>
    </xf>
    <xf borderId="63" numFmtId="0" fontId="71" fillId="68" applyNumberFormat="0" applyFill="1" applyFont="1" applyBorder="1" applyAlignment="1" applyProtection="0">
      <alignment horizontal="center" vertical="center"/>
    </xf>
    <xf borderId="64" numFmtId="0" fontId="72" fillId="69" applyNumberFormat="0" applyFill="1" applyFont="1" applyBorder="1" applyAlignment="1" applyProtection="0">
      <alignment horizontal="center" vertical="center"/>
    </xf>
    <xf borderId="65" numFmtId="0" fontId="73" fillId="70" applyNumberFormat="0" applyFill="1" applyFont="1" applyBorder="1" applyAlignment="1" applyProtection="0">
      <alignment horizontal="center" vertical="center"/>
    </xf>
    <xf borderId="66" numFmtId="0" fontId="74" fillId="71" applyNumberFormat="0" applyFill="1" applyFont="1" applyBorder="1" applyAlignment="1" applyProtection="0">
      <alignment horizontal="center" vertical="center"/>
    </xf>
    <xf borderId="67" numFmtId="0" fontId="75" fillId="72" applyNumberFormat="0" applyFill="1" applyFont="1" applyBorder="1" applyAlignment="1" applyProtection="0">
      <alignment horizontal="center" vertical="center"/>
    </xf>
    <xf borderId="68" numFmtId="0" fontId="76" fillId="73" applyNumberFormat="0" applyFill="1" applyFont="1" applyBorder="1" applyAlignment="1" applyProtection="0">
      <alignment horizontal="center" vertical="center"/>
    </xf>
    <xf borderId="69" numFmtId="0" fontId="77" fillId="74" applyNumberFormat="0" applyFill="1" applyFont="1" applyBorder="1" applyAlignment="1" applyProtection="0">
      <alignment horizontal="center" vertical="center"/>
    </xf>
    <xf borderId="70" numFmtId="0" fontId="78" fillId="75" applyNumberFormat="0" applyFill="1" applyFont="1" applyBorder="1" applyAlignment="1" applyProtection="0">
      <alignment horizontal="center" vertical="center"/>
    </xf>
    <xf borderId="71" numFmtId="0" fontId="79" fillId="76" applyNumberFormat="0" applyFill="1" applyFont="1" applyBorder="1" applyAlignment="1" applyProtection="0">
      <alignment horizontal="center" vertical="center"/>
    </xf>
    <xf borderId="72" numFmtId="0" fontId="80" fillId="77" applyNumberFormat="0" applyFill="1" applyFont="1" applyBorder="1" applyAlignment="1" applyProtection="0">
      <alignment horizontal="center" vertical="center"/>
    </xf>
    <xf borderId="73" numFmtId="0" fontId="81" fillId="78" applyNumberFormat="0" applyFill="1" applyFont="1" applyBorder="1" applyAlignment="1" applyProtection="0">
      <alignment horizontal="center" vertical="center"/>
    </xf>
    <xf borderId="74" numFmtId="0" fontId="82" fillId="79" applyNumberFormat="0" applyFill="1" applyFont="1" applyBorder="1" applyAlignment="1" applyProtection="0">
      <alignment horizontal="center" vertical="center"/>
    </xf>
    <xf borderId="75" numFmtId="0" fontId="83" fillId="80" applyNumberFormat="0" applyFill="1" applyFont="1" applyBorder="1" applyAlignment="1" applyProtection="0">
      <alignment horizontal="center" vertical="center"/>
    </xf>
    <xf borderId="76" numFmtId="0" fontId="84" fillId="81" applyNumberFormat="0" applyFill="1" applyFont="1" applyBorder="1" applyAlignment="1" applyProtection="0">
      <alignment horizontal="center" vertical="center"/>
    </xf>
    <xf borderId="77" numFmtId="0" fontId="85" fillId="82" applyNumberFormat="0" applyFill="1" applyFont="1" applyBorder="1" applyAlignment="1" applyProtection="0">
      <alignment horizontal="center" vertical="center"/>
    </xf>
    <xf borderId="78" numFmtId="0" fontId="86" fillId="83" applyNumberFormat="0" applyFill="1" applyFont="1" applyBorder="1" applyAlignment="1" applyProtection="0">
      <alignment horizontal="center" vertical="center"/>
    </xf>
    <xf borderId="79" numFmtId="0" fontId="87" fillId="84" applyNumberFormat="0" applyFill="1" applyFont="1" applyBorder="1" applyAlignment="1" applyProtection="0">
      <alignment horizontal="center" vertical="center"/>
    </xf>
    <xf borderId="80" numFmtId="0" fontId="88" fillId="85" applyNumberFormat="0" applyFill="1" applyFont="1" applyBorder="1" applyAlignment="1" applyProtection="0">
      <alignment horizontal="center" vertical="center"/>
    </xf>
    <xf borderId="81" numFmtId="0" fontId="89" fillId="86" applyNumberFormat="0" applyFill="1" applyFont="1" applyBorder="1" applyAlignment="1" applyProtection="0">
      <alignment horizontal="center" vertical="center"/>
    </xf>
    <xf borderId="82" numFmtId="0" fontId="90" fillId="87" applyNumberFormat="0" applyFill="1" applyFont="1" applyBorder="1" applyAlignment="1" applyProtection="0">
      <alignment horizontal="center" vertical="center"/>
    </xf>
    <xf borderId="83" numFmtId="0" fontId="91" fillId="88" applyNumberFormat="0" applyFill="1" applyFont="1" applyBorder="1" applyAlignment="1" applyProtection="0">
      <alignment horizontal="center" vertical="center"/>
    </xf>
    <xf borderId="84" numFmtId="0" fontId="92" fillId="89" applyNumberFormat="0" applyFill="1" applyFont="1" applyBorder="1" applyAlignment="1" applyProtection="0">
      <alignment horizontal="center" vertical="center"/>
    </xf>
    <xf borderId="85" numFmtId="0" fontId="93" fillId="90" applyNumberFormat="0" applyFill="1" applyFont="1" applyBorder="1" applyAlignment="1" applyProtection="0">
      <alignment horizontal="center" vertical="center"/>
    </xf>
    <xf borderId="86" numFmtId="0" fontId="94" fillId="91" applyNumberFormat="0" applyFill="1" applyFont="1" applyBorder="1" applyAlignment="1" applyProtection="0">
      <alignment horizontal="center" vertical="center"/>
    </xf>
    <xf borderId="87" numFmtId="0" fontId="95" fillId="92" applyNumberFormat="0" applyFill="1" applyFont="1" applyBorder="1" applyAlignment="1" applyProtection="0">
      <alignment horizontal="center" vertical="center"/>
    </xf>
    <xf borderId="88" numFmtId="0" fontId="96" fillId="93" applyNumberFormat="0" applyFill="1" applyFont="1" applyBorder="1" applyAlignment="1" applyProtection="0">
      <alignment horizontal="center" vertical="center"/>
    </xf>
    <xf borderId="89" numFmtId="0" fontId="97" fillId="94" applyNumberFormat="0" applyFill="1" applyFont="1" applyBorder="1" applyAlignment="1" applyProtection="0">
      <alignment horizontal="center" vertical="center"/>
    </xf>
    <xf borderId="90" numFmtId="0" fontId="98" fillId="95" applyNumberFormat="0" applyFill="1" applyFont="1" applyBorder="1" applyAlignment="1" applyProtection="0">
      <alignment horizontal="center" vertical="center"/>
    </xf>
    <xf borderId="91" numFmtId="0" fontId="99" fillId="96" applyNumberFormat="0" applyFill="1" applyFont="1" applyBorder="1" applyAlignment="1" applyProtection="0">
      <alignment horizontal="center" vertical="center"/>
    </xf>
    <xf borderId="92" numFmtId="0" fontId="100" fillId="97" applyNumberFormat="0" applyFill="1" applyFont="1" applyBorder="1" applyAlignment="1" applyProtection="0">
      <alignment horizontal="center" vertical="center"/>
    </xf>
    <xf borderId="93" numFmtId="0" fontId="101" fillId="98" applyNumberFormat="0" applyFill="1" applyFont="1" applyBorder="1" applyAlignment="1" applyProtection="0">
      <alignment horizontal="center" vertical="center"/>
    </xf>
    <xf borderId="0" numFmtId="0" fontId="102" fillId="99" applyNumberFormat="0" applyFill="1" applyFont="1" applyBorder="0" applyAlignment="1" applyProtection="0">
      <alignment horizontal="center" vertical="center"/>
    </xf>
    <xf borderId="0" numFmtId="0" fontId="103" fillId="0" applyNumberFormat="0" applyFill="0" applyFont="1" applyBorder="0" applyAlignment="1" applyProtection="0">
      <alignment vertical="center"/>
    </xf>
    <xf borderId="94" numFmtId="0" fontId="104" fillId="100" applyNumberFormat="0" applyFill="1" applyFont="1" applyBorder="1" applyAlignment="1" applyProtection="0">
      <alignment horizontal="center" vertical="center"/>
    </xf>
    <xf borderId="95" numFmtId="0" fontId="105" fillId="101" applyNumberFormat="0" applyFill="1" applyFont="1" applyBorder="1" applyAlignment="1" applyProtection="0">
      <alignment horizontal="center" vertical="center"/>
    </xf>
    <xf borderId="96" numFmtId="0" fontId="106" fillId="102" applyNumberFormat="0" applyFill="1" applyFont="1" applyBorder="1" applyAlignment="1" applyProtection="0">
      <alignment horizontal="center" vertical="center"/>
    </xf>
    <xf borderId="97" numFmtId="0" fontId="107" fillId="103" applyNumberFormat="0" applyFill="1" applyFont="1" applyBorder="1" applyAlignment="1" applyProtection="0">
      <alignment horizontal="center" vertical="center"/>
    </xf>
    <xf borderId="98" numFmtId="0" fontId="108" fillId="104" applyNumberFormat="0" applyFill="1" applyFont="1" applyBorder="1" applyAlignment="1" applyProtection="0">
      <alignment horizontal="center" vertical="center"/>
    </xf>
    <xf borderId="99" numFmtId="0" fontId="109" fillId="105" applyNumberFormat="0" applyFill="1" applyFont="1" applyBorder="1" applyAlignment="1" applyProtection="0">
      <alignment horizontal="center" vertical="center"/>
    </xf>
    <xf borderId="100" numFmtId="0" fontId="110" fillId="106" applyNumberFormat="0" applyFill="1" applyFont="1" applyBorder="1" applyAlignment="1" applyProtection="0">
      <alignment horizontal="center" vertical="center"/>
    </xf>
    <xf borderId="101" numFmtId="0" fontId="111" fillId="107" applyNumberFormat="0" applyFill="1" applyFont="1" applyBorder="1" applyAlignment="1" applyProtection="0">
      <alignment horizontal="center" vertical="center"/>
    </xf>
    <xf borderId="102" numFmtId="0" fontId="112" fillId="108" applyNumberFormat="0" applyFill="1" applyFont="1" applyBorder="1" applyAlignment="1" applyProtection="0">
      <alignment horizontal="center" vertical="center"/>
    </xf>
    <xf borderId="0" numFmtId="0" fontId="113" fillId="0" applyNumberFormat="0" applyFill="0" applyFont="1" applyBorder="0" applyAlignment="1" applyProtection="0">
      <alignment vertical="center"/>
    </xf>
    <xf borderId="103" numFmtId="0" fontId="114" fillId="109" applyNumberFormat="0" applyFill="1" applyFont="1" applyBorder="1" applyAlignment="1" applyProtection="0">
      <alignment horizontal="center" vertical="center"/>
    </xf>
    <xf borderId="104" numFmtId="0" fontId="115" fillId="110" applyNumberFormat="0" applyFill="1" applyFont="1" applyBorder="1" applyAlignment="1" applyProtection="0">
      <alignment horizontal="center" vertical="center"/>
    </xf>
    <xf borderId="105" numFmtId="0" fontId="116" fillId="111" applyNumberFormat="0" applyFill="1" applyFont="1" applyBorder="1" applyAlignment="1" applyProtection="0">
      <alignment horizontal="center" vertical="center"/>
    </xf>
    <xf borderId="106" numFmtId="0" fontId="117" fillId="112" applyNumberFormat="0" applyFill="1" applyFont="1" applyBorder="1" applyAlignment="1" applyProtection="0">
      <alignment horizontal="center" vertical="center"/>
    </xf>
    <xf borderId="107" numFmtId="0" fontId="118" fillId="113" applyNumberFormat="0" applyFill="1" applyFont="1" applyBorder="1" applyAlignment="1" applyProtection="0">
      <alignment horizontal="center" vertical="center"/>
    </xf>
    <xf borderId="0" numFmtId="0" fontId="119" fillId="0" applyNumberFormat="0" applyFill="0" applyFont="1" applyBorder="0" applyAlignment="1" applyProtection="0">
      <alignment vertical="center"/>
    </xf>
    <xf borderId="0" numFmtId="0" fontId="120" fillId="0" applyNumberFormat="0" applyFill="0" applyFont="1" applyBorder="0" applyAlignment="1" applyProtection="0">
      <alignment vertical="center"/>
    </xf>
    <xf borderId="0" numFmtId="0" fontId="121" fillId="114"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122"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E11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900000000000006"/>
    <col min="2" max="2" bestFit="1" customWidth="1" width="19.799999999999997"/>
    <col min="3" max="3" bestFit="1" customWidth="1" width="18.15"/>
    <col min="4" max="4" bestFit="1" customWidth="1" width="36.3"/>
    <col min="5" max="5" bestFit="1" customWidth="1" width="44.0"/>
    <col min="6" max="6" bestFit="1" customWidth="1" width="1463.0000000000002"/>
    <col min="7" max="7" bestFit="1" customWidth="1" width="24.75"/>
    <col min="8" max="8" bestFit="1" customWidth="1" width="19.8"/>
    <col min="9" max="9" bestFit="1" customWidth="1" width="36.3"/>
    <col min="10" max="10" bestFit="1" customWidth="1" width="19.8"/>
    <col min="11" max="11" bestFit="1" customWidth="1" width="36.3"/>
    <col min="12" max="12" bestFit="1" customWidth="1" width="21.45"/>
    <col min="13" max="13" bestFit="1" customWidth="1" width="28.6"/>
    <col min="14" max="14" bestFit="1" customWidth="1" width="28.6"/>
    <col min="15" max="15" bestFit="1" customWidth="1" width="28.6"/>
    <col min="16" max="16" bestFit="1" customWidth="1" width="25.3"/>
    <col min="17" max="17" bestFit="1" customWidth="1" width="22.0"/>
    <col min="18" max="18" bestFit="1" customWidth="1" width="28.6"/>
    <col min="19" max="19" bestFit="1" customWidth="1" width="24.200000000000003"/>
    <col min="20" max="20" bestFit="1" customWidth="1" width="21.45"/>
    <col min="21" max="21" bestFit="1" customWidth="1" width="23.099999999999998"/>
    <col min="22" max="22" bestFit="1" customWidth="1" width="18.700000000000003"/>
    <col min="23" max="23" bestFit="1" customWidth="1" width="19.8"/>
    <col min="24" max="24" bestFit="1" customWidth="1" width="71.5"/>
    <col min="25" max="25" bestFit="1" customWidth="1" width="16.5"/>
    <col min="26" max="26" bestFit="1" customWidth="1" width="19.799999999999997"/>
    <col min="27" max="27" bestFit="1" customWidth="1" width="26.4"/>
    <col min="28" max="28" bestFit="1" customWidth="1" width="33.0"/>
    <col min="29" max="29" bestFit="1" customWidth="1" width="69.30000000000001"/>
    <col min="30" max="30" bestFit="1" customWidth="1" width="34.65"/>
    <col min="31" max="31" bestFit="1" customWidth="1" width="28.049999999999997"/>
  </cols>
  <sheetData>
    <row customHeight="1" ht="40" r="1">
      <c r="A1" s="4" t="inlineStr">
        <is>
          <t>Master Template</t>
        </is>
      </c>
    </row>
    <row customHeight="1" ht="30" r="2">
      <c r="A2" s="5" t="inlineStr">
        <is>
          <t>Manage any type of project. Assign owners, set timelines and keep track of where your project stands.</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c r="L3" s="0" t="inlineStr">
        <is>
          <t/>
        </is>
      </c>
      <c r="M3" s="0" t="inlineStr">
        <is>
          <t/>
        </is>
      </c>
      <c r="N3" s="0" t="inlineStr">
        <is>
          <t/>
        </is>
      </c>
      <c r="O3" s="0" t="inlineStr">
        <is>
          <t/>
        </is>
      </c>
      <c r="P3" s="0" t="inlineStr">
        <is>
          <t/>
        </is>
      </c>
      <c r="Q3" s="0" t="inlineStr">
        <is>
          <t/>
        </is>
      </c>
      <c r="R3" s="0" t="inlineStr">
        <is>
          <t/>
        </is>
      </c>
      <c r="S3" s="0" t="inlineStr">
        <is>
          <t/>
        </is>
      </c>
      <c r="T3" s="0" t="inlineStr">
        <is>
          <t/>
        </is>
      </c>
      <c r="U3" s="0" t="inlineStr">
        <is>
          <t/>
        </is>
      </c>
      <c r="V3" s="0" t="inlineStr">
        <is>
          <t/>
        </is>
      </c>
      <c r="W3" s="0" t="inlineStr">
        <is>
          <t/>
        </is>
      </c>
      <c r="X3" s="0" t="inlineStr">
        <is>
          <t/>
        </is>
      </c>
      <c r="Y3" s="0" t="inlineStr">
        <is>
          <t/>
        </is>
      </c>
      <c r="Z3" s="0" t="inlineStr">
        <is>
          <t/>
        </is>
      </c>
      <c r="AA3" s="0" t="inlineStr">
        <is>
          <t/>
        </is>
      </c>
      <c r="AB3" s="0" t="inlineStr">
        <is>
          <t/>
        </is>
      </c>
      <c r="AC3" s="0" t="inlineStr">
        <is>
          <t/>
        </is>
      </c>
      <c r="AD3" s="0" t="inlineStr">
        <is>
          <t/>
        </is>
      </c>
    </row>
    <row customHeight="1" ht="20" r="4">
      <c r="A4" s="15" t="inlineStr">
        <is>
          <t>To-Do</t>
        </is>
      </c>
    </row>
    <row customHeight="1" ht="20" r="5">
      <c r="A5" s="7" t="inlineStr">
        <is>
          <t>Name</t>
        </is>
      </c>
      <c r="B5" s="6" t="inlineStr">
        <is>
          <t>Subelementos</t>
        </is>
      </c>
      <c r="C5" s="6" t="inlineStr">
        <is>
          <t>Loan Amount</t>
        </is>
      </c>
      <c r="D5" s="6" t="inlineStr">
        <is>
          <t>Est Closing Date</t>
        </is>
      </c>
      <c r="E5" s="6" t="inlineStr">
        <is>
          <t>Owner</t>
        </is>
      </c>
      <c r="F5" s="6" t="inlineStr">
        <is>
          <t>Comments</t>
        </is>
      </c>
      <c r="G5" s="6" t="inlineStr">
        <is>
          <t>Property Documents</t>
        </is>
      </c>
      <c r="H5" s="6" t="inlineStr">
        <is>
          <t>Commercial Appraisal</t>
        </is>
      </c>
      <c r="I5" s="6" t="inlineStr">
        <is>
          <t>Comm Appr Date</t>
        </is>
      </c>
      <c r="J5" s="6" t="inlineStr">
        <is>
          <t>Title Search</t>
        </is>
      </c>
      <c r="K5" s="6" t="inlineStr">
        <is>
          <t>Title Search Date</t>
        </is>
      </c>
      <c r="L5" s="6" t="inlineStr">
        <is>
          <t>Title Commitment</t>
        </is>
      </c>
      <c r="M5" s="6" t="inlineStr">
        <is>
          <t>Tit Com Date</t>
        </is>
      </c>
      <c r="N5" s="6" t="inlineStr">
        <is>
          <t>Notario Quote</t>
        </is>
      </c>
      <c r="O5" s="6" t="inlineStr">
        <is>
          <t>NQ Date</t>
        </is>
      </c>
      <c r="P5" s="6" t="inlineStr">
        <is>
          <t>Notario Project</t>
        </is>
      </c>
      <c r="Q5" s="6" t="inlineStr">
        <is>
          <t>Closing Disclosure</t>
        </is>
      </c>
      <c r="R5" s="6" t="inlineStr">
        <is>
          <t>CD Date</t>
        </is>
      </c>
      <c r="S5" s="6" t="inlineStr">
        <is>
          <t>FAP</t>
        </is>
      </c>
      <c r="T5" s="6" t="inlineStr">
        <is>
          <t>Seller´s Fideicomiso</t>
        </is>
      </c>
      <c r="U5" s="6" t="inlineStr">
        <is>
          <t>Fideicomiso de Garantia</t>
        </is>
      </c>
      <c r="V5" s="6" t="inlineStr">
        <is>
          <t>POA</t>
        </is>
      </c>
      <c r="W5" s="6" t="inlineStr">
        <is>
          <t>Cadastral Appraisal</t>
        </is>
      </c>
      <c r="X5" s="6" t="inlineStr">
        <is>
          <t>Legal Summary</t>
        </is>
      </c>
      <c r="Y5" s="6" t="inlineStr">
        <is>
          <t>Fideicomitente</t>
        </is>
      </c>
      <c r="Z5" s="6" t="inlineStr">
        <is>
          <t>Amortization Table</t>
        </is>
      </c>
      <c r="AA5" s="6" t="inlineStr">
        <is>
          <t>Comm Appr Sharefile</t>
        </is>
      </c>
      <c r="AB5" s="6" t="inlineStr">
        <is>
          <t>Notice of Acknowledgement</t>
        </is>
      </c>
      <c r="AC5" s="6" t="inlineStr">
        <is>
          <t>Certificados</t>
        </is>
      </c>
      <c r="AD5" s="6" t="inlineStr">
        <is>
          <t>Seller Approved by Fiduciary</t>
        </is>
      </c>
      <c r="AE5" s="6" t="inlineStr">
        <is>
          <t>Item ID (auto generated)</t>
        </is>
      </c>
    </row>
    <row customHeight="1" ht="20" r="6">
      <c r="A6" s="3" t="inlineStr">
        <is>
          <t>824008730 - Tywoniak - General Retail</t>
        </is>
      </c>
      <c r="B6" s="14" t="inlineStr">
        <is>
          <t/>
        </is>
      </c>
      <c r="C6" s="14" t="n">
        <v>300000</v>
      </c>
      <c r="D6" s="13">
        <v>45945.0</v>
      </c>
      <c r="E6" s="14" t="inlineStr">
        <is>
          <t>Beatriz Meléndez</t>
        </is>
      </c>
      <c r="F6" s="14" t="inlineStr">
        <is>
          <t>10/30 BM - The file has been withdrawn
09/25 BM- Linda is waiting to have a call with Mr. and Mrs. Tywoniak.
09/18 BM - I'm still waiting for feedback from Linda and to find out if she's been able to speak with Mr. and Mrs. Tywoniak. At the moment, I still haven't received a response to all of my emails.
09/11 BM -Linda has not been able to co
Linda has not been able to communicate with Mr. Tywoniak and I have not received a response to the emails I have sent them so far.
09/04 BM- I sent a follow-up email to Linda to see if she had spoken to Mr. and Mrs. Tywoniak.
Linda will have a follow-up call with the borrowers on September 3, 2025. 
08/28 BM - I sent another follow-up email to Mr. Tywoniak. So far, I have not received a response. Linda has already scheduled a call with them for next week.
08/21 BM - I sent a follow-up email to Mr. and Mrs. Tywank, asking if they had already made the payment to Banorte to begin the process of correcting the property with the Ministry of Foreign Affairs.
08/08: It is pending for Mr. Tywoniac to make the correction of the property before the Ministry of Foreign Affairs, through the agents of Banorte.
07/31 BM- I received the construction notice. It is pending for Mr. Tywoniac to make the correction of the property before the Ministry of Foreign Affairs, through the agents of Banorte.
07/24 BM - I am still waiting to receive the construction manifestation and for Mr. Tywoniak to begin the process with the managers of Banorte to modify the measurements and boundaries before the Ministry of Foreign Affairs.
07/17 BM - I am still waiting to receive the construction manifestation and for Mr. Tywoniak to begin the process with the managers of Banorte to modify the measurements and boundaries before the Ministry of Foreign Affairs.</t>
        </is>
      </c>
      <c r="G6" s="16" t="inlineStr">
        <is>
          <t>Stuck</t>
        </is>
      </c>
      <c r="H6" s="17" t="inlineStr">
        <is>
          <t>Received (MoXi)</t>
        </is>
      </c>
      <c r="I6" s="13" t="inlineStr">
        <is>
          <t/>
        </is>
      </c>
      <c r="J6" s="18" t="inlineStr">
        <is>
          <t>Approved by Legal</t>
        </is>
      </c>
      <c r="K6" s="13" t="inlineStr">
        <is>
          <t/>
        </is>
      </c>
      <c r="L6" s="19" t="inlineStr">
        <is>
          <t>Requested (MoXi)</t>
        </is>
      </c>
      <c r="M6" s="13" t="inlineStr">
        <is>
          <t/>
        </is>
      </c>
      <c r="N6" s="20" t="inlineStr">
        <is>
          <t>2015 Updated (MoXi)</t>
        </is>
      </c>
      <c r="O6" s="13" t="inlineStr">
        <is>
          <t/>
        </is>
      </c>
      <c r="P6" s="21" t="inlineStr">
        <is>
          <t>Requested</t>
        </is>
      </c>
      <c r="Q6" s="22"/>
      <c r="R6" s="13" t="inlineStr">
        <is>
          <t/>
        </is>
      </c>
      <c r="S6" s="23" t="inlineStr">
        <is>
          <t>Stuck</t>
        </is>
      </c>
      <c r="T6" s="24" t="inlineStr">
        <is>
          <t>N/A</t>
        </is>
      </c>
      <c r="U6" s="25" t="inlineStr">
        <is>
          <t>Stuck</t>
        </is>
      </c>
      <c r="V6" s="26" t="inlineStr">
        <is>
          <t>Waived</t>
        </is>
      </c>
      <c r="W6" s="27" t="inlineStr">
        <is>
          <t>Payment requested</t>
        </is>
      </c>
      <c r="X6" s="14" t="inlineStr">
        <is>
          <t/>
        </is>
      </c>
      <c r="Y6" s="28" t="inlineStr">
        <is>
          <t>Mifel</t>
        </is>
      </c>
      <c r="Z6" s="29"/>
      <c r="AA6" s="30"/>
      <c r="AB6" s="14" t="inlineStr">
        <is>
          <t>Athene</t>
        </is>
      </c>
      <c r="AC6" s="14" t="inlineStr">
        <is>
          <t/>
        </is>
      </c>
      <c r="AD6" s="31" t="inlineStr">
        <is>
          <t>N/A</t>
        </is>
      </c>
      <c r="AE6" s="14" t="n">
        <v>8539059913</v>
      </c>
    </row>
    <row customHeight="1" ht="20" r="7">
      <c r="A7" s="3" t="inlineStr">
        <is>
          <t>824008989 - James Sebastian - General Retail</t>
        </is>
      </c>
      <c r="B7" s="14" t="inlineStr">
        <is>
          <t/>
        </is>
      </c>
      <c r="C7" s="14" t="n">
        <v>321750</v>
      </c>
      <c r="D7" s="13">
        <v>45976.0</v>
      </c>
      <c r="E7" s="14" t="inlineStr">
        <is>
          <t>Beatriz Meléndez</t>
        </is>
      </c>
      <c r="F7" s="14" t="inlineStr">
        <is>
          <t>10/30 BM - The file has been withdrawn
10/09 BM -The notary sent the certificates of non-debt of water and property taxes, the zonificación, and the certificate of no liens. However, they requested a preventive notice of a purchase. I asked the notary to correct the first preventive notice so that the loan and the trust with Mifel are recorded.
10/02 BM - I'm still waiting for feedback from the notary.
09/25 BM - I'm still waiting for feedback from the notary.
09/18 BM - I'm still waiting for feedback from the notary.
09/11 BM - I am still waiting to receive the documents that the notary requested to review and see what the true status of the property is.
09/04 BM- I received an email from the notary's office informing me that they have already clarified the property information in the Registry.
08/28 BM - We are still waiting to get some response from the notary.
08/21 BM - 
We're still waiting for the information the notary is investigating. I asked Linda for help coordinating a call with the client to explain the situation and the timeframe the entire process will take at the Public Property Registry.
08/08: The notary will request a second search in the RPP, and they expect
07/31 BM- The notary will request a second search in the RPP, and they expect to have a response by mid-August. With this information, they hope to confirm the area, boundaries, and ownership records of the property. Subsequently, a request will have to be made to the RPP for the digitization of the Real Folio (which can take several months), and a copy of the deed will be requested from the AGN (which can take several weeks).</t>
        </is>
      </c>
      <c r="G7" s="16" t="inlineStr">
        <is>
          <t>Stuck</t>
        </is>
      </c>
      <c r="H7" s="32" t="inlineStr">
        <is>
          <t>Approved by Legal</t>
        </is>
      </c>
      <c r="I7" s="13">
        <v>45854.0</v>
      </c>
      <c r="J7" s="33" t="inlineStr">
        <is>
          <t>Received (MoXi)</t>
        </is>
      </c>
      <c r="K7" s="13" t="inlineStr">
        <is>
          <t/>
        </is>
      </c>
      <c r="L7" s="34" t="inlineStr">
        <is>
          <t>Not ready to request</t>
        </is>
      </c>
      <c r="M7" s="13" t="inlineStr">
        <is>
          <t/>
        </is>
      </c>
      <c r="N7" s="35" t="inlineStr">
        <is>
          <t>Not ready to request</t>
        </is>
      </c>
      <c r="O7" s="13" t="inlineStr">
        <is>
          <t/>
        </is>
      </c>
      <c r="P7" s="36" t="inlineStr">
        <is>
          <t>Not ready to requested</t>
        </is>
      </c>
      <c r="Q7" s="37" t="inlineStr">
        <is>
          <t>Not Ready to Review</t>
        </is>
      </c>
      <c r="R7" s="13" t="inlineStr">
        <is>
          <t/>
        </is>
      </c>
      <c r="S7" s="38" t="inlineStr">
        <is>
          <t>Not ready to request it</t>
        </is>
      </c>
      <c r="T7" s="39" t="inlineStr">
        <is>
          <t>Not ready to request</t>
        </is>
      </c>
      <c r="U7" s="40" t="inlineStr">
        <is>
          <t>Not ready to request</t>
        </is>
      </c>
      <c r="V7" s="26" t="inlineStr">
        <is>
          <t>Waived</t>
        </is>
      </c>
      <c r="W7" s="41" t="inlineStr">
        <is>
          <t>Not ready to requested</t>
        </is>
      </c>
      <c r="X7" s="14" t="inlineStr">
        <is>
          <t>824008989 - James Sebastian - General Retail</t>
        </is>
      </c>
      <c r="Y7" s="28" t="inlineStr">
        <is>
          <t>Mifel</t>
        </is>
      </c>
      <c r="Z7" s="29"/>
      <c r="AA7" s="30"/>
      <c r="AB7" s="14" t="inlineStr">
        <is>
          <t>Athene</t>
        </is>
      </c>
      <c r="AC7" s="14" t="inlineStr">
        <is>
          <t/>
        </is>
      </c>
      <c r="AD7" s="31" t="inlineStr">
        <is>
          <t>N/A</t>
        </is>
      </c>
      <c r="AE7" s="14" t="n">
        <v>9052663436</v>
      </c>
    </row>
    <row customHeight="1" ht="20" r="8">
      <c r="A8" s="3" t="inlineStr">
        <is>
          <t>824008445 - Fattizzi - Samsara</t>
        </is>
      </c>
      <c r="B8" s="14" t="inlineStr">
        <is>
          <t/>
        </is>
      </c>
      <c r="C8" s="14" t="n">
        <v>161500</v>
      </c>
      <c r="D8" s="13">
        <v>46021.0</v>
      </c>
      <c r="E8" s="14" t="inlineStr">
        <is>
          <t>MARIANA PINEDA PASQUEL</t>
        </is>
      </c>
      <c r="F8" s="14" t="inlineStr">
        <is>
          <t>13/11/2025 MP No news from Amy, she has been in contact with the client.
24/10/2025 MP Amy has been in contact with the clients to explain their questions about the credit. The client has not given us green light to move on.
09/10/2025 MP OnTuesday 7th Amy wrote explaining to Mr Fattizzi everything related to the credit, for some reason he did not answer back 
03/10/2025 The borrower has not given us the ok to continue with the transaction.
26/09/2025 MP the document of cession of rights has been signed by the 2 borrowers. Linda has asked the borrower if we can start requesting the tilte and the appraisal
19/09/2025 MP I have asked the borrower about their meeting with the developer earlier this week and it seems progress have been made. the borrower has to update credit documents.
09/05/2025 MP Mr. Fattizzi will review the document again with Ivan from Title Solutions. 
08/29/2020 MP I have asked Mr. Fattizzi if he has signed the document and I had no answer, I will keep pushing.</t>
        </is>
      </c>
      <c r="G8" s="42" t="inlineStr">
        <is>
          <t>Working on it</t>
        </is>
      </c>
      <c r="H8" s="43" t="inlineStr">
        <is>
          <t>Stuck</t>
        </is>
      </c>
      <c r="I8" s="13" t="inlineStr">
        <is>
          <t/>
        </is>
      </c>
      <c r="J8" s="44" t="inlineStr">
        <is>
          <t>Stuck</t>
        </is>
      </c>
      <c r="K8" s="13" t="inlineStr">
        <is>
          <t/>
        </is>
      </c>
      <c r="L8" s="45" t="inlineStr">
        <is>
          <t>N/A</t>
        </is>
      </c>
      <c r="M8" s="13" t="inlineStr">
        <is>
          <t/>
        </is>
      </c>
      <c r="N8" s="46" t="inlineStr">
        <is>
          <t>Stuck</t>
        </is>
      </c>
      <c r="O8" s="13" t="inlineStr">
        <is>
          <t/>
        </is>
      </c>
      <c r="P8" s="47" t="inlineStr">
        <is>
          <t>Stuck</t>
        </is>
      </c>
      <c r="Q8" s="22"/>
      <c r="R8" s="13" t="inlineStr">
        <is>
          <t/>
        </is>
      </c>
      <c r="S8" s="23" t="inlineStr">
        <is>
          <t>Stuck</t>
        </is>
      </c>
      <c r="T8" s="48" t="inlineStr">
        <is>
          <t>Stuck</t>
        </is>
      </c>
      <c r="U8" s="25" t="inlineStr">
        <is>
          <t>Stuck</t>
        </is>
      </c>
      <c r="V8" s="49" t="inlineStr">
        <is>
          <t>Stuck</t>
        </is>
      </c>
      <c r="W8" s="27" t="inlineStr">
        <is>
          <t>Payment requested</t>
        </is>
      </c>
      <c r="X8" s="14" t="inlineStr">
        <is>
          <t/>
        </is>
      </c>
      <c r="Y8" s="28" t="inlineStr">
        <is>
          <t>Mifel</t>
        </is>
      </c>
      <c r="Z8" s="29"/>
      <c r="AA8" s="30"/>
      <c r="AB8" s="14" t="inlineStr">
        <is>
          <t>Athene</t>
        </is>
      </c>
      <c r="AC8" s="14" t="inlineStr">
        <is>
          <t/>
        </is>
      </c>
      <c r="AD8" s="50" t="inlineStr">
        <is>
          <t>Approved by  FID</t>
        </is>
      </c>
      <c r="AE8" s="14" t="n">
        <v>8508286691</v>
      </c>
    </row>
    <row customHeight="1" ht="20" r="9">
      <c r="A9" s="3" t="inlineStr">
        <is>
          <t>824008429 - Olsen - Samsara</t>
        </is>
      </c>
      <c r="B9" s="14" t="inlineStr">
        <is>
          <t/>
        </is>
      </c>
      <c r="C9" s="14" t="n">
        <v>176500</v>
      </c>
      <c r="D9" s="13">
        <v>45987.0</v>
      </c>
      <c r="E9" s="14" t="inlineStr">
        <is>
          <t>lreyes@portilla.com.mx</t>
        </is>
      </c>
      <c r="F9" s="14" t="inlineStr">
        <is>
          <t>11/13: We are awaiting for the amendment of the SRE permit in order to continue with the process. We are still awaiting for the confirmation of the fiduciary delegates.
11/06: We sent the instruction letter to Autofin to amend the SRE Permit, due to the change of name of the Fiduciary Institution.
10/30: We are waiting for the confirmation of Autofin delegates. Everything is stopped due to this change of name. We request to Mauricio Zamudio support on changing the SRE permit.
10/24: We are waiting for the confirmation of Autofin delegates. Everything is stopped due to this change of name.
10/16: We have all the technical documents, the escrow agreement and its amendment executed, the borrower's documents, the POA, the translations, the apprailsals, the notary quote. However, we can't close due to the current situation with Autofin.
10/02: We haven't received updates from the notary. We are stuck.
09/25: We received an email from the notary office with some updates. They are working to close next month. We need to update most of the documents, but we can't request them until we have a confirmation of the new notary office.
We received the updated commercial appraisal.
09/19: The notary is still blocking the closing, We would need to update the Escrow Agreement, Commercial Appraisal, the technical documents and the proof of address of the borrower.
09/11: The notary is still blocking the closing, We would need to update the Escrow Agreement, Commercial Appraisal, the technical documents and the proof of address of the borrower.
09/04: The notary is still blocking the closing,
We would need to update the Escrow Agreement, the technical documents and the proof of address of the borrower.</t>
        </is>
      </c>
      <c r="G9" s="51" t="inlineStr">
        <is>
          <t>All Received</t>
        </is>
      </c>
      <c r="H9" s="32" t="inlineStr">
        <is>
          <t>Approved by Legal</t>
        </is>
      </c>
      <c r="I9" s="13">
        <v>45931.0</v>
      </c>
      <c r="J9" s="18" t="inlineStr">
        <is>
          <t>Approved by Legal</t>
        </is>
      </c>
      <c r="K9" s="13" t="inlineStr">
        <is>
          <t/>
        </is>
      </c>
      <c r="L9" s="45" t="inlineStr">
        <is>
          <t>N/A</t>
        </is>
      </c>
      <c r="M9" s="13" t="inlineStr">
        <is>
          <t/>
        </is>
      </c>
      <c r="N9" s="46" t="inlineStr">
        <is>
          <t>Stuck</t>
        </is>
      </c>
      <c r="O9" s="13" t="inlineStr">
        <is>
          <t/>
        </is>
      </c>
      <c r="P9" s="52" t="inlineStr">
        <is>
          <t>In process</t>
        </is>
      </c>
      <c r="Q9" s="53" t="inlineStr">
        <is>
          <t>ECTC Reviewed</t>
        </is>
      </c>
      <c r="R9" s="13" t="inlineStr">
        <is>
          <t/>
        </is>
      </c>
      <c r="S9" s="54" t="inlineStr">
        <is>
          <t>In process</t>
        </is>
      </c>
      <c r="T9" s="55" t="inlineStr">
        <is>
          <t>Done</t>
        </is>
      </c>
      <c r="U9" s="56" t="inlineStr">
        <is>
          <t>Done</t>
        </is>
      </c>
      <c r="V9" s="57" t="inlineStr">
        <is>
          <t>Done</t>
        </is>
      </c>
      <c r="W9" s="58" t="inlineStr">
        <is>
          <t>Done</t>
        </is>
      </c>
      <c r="X9" s="14" t="inlineStr">
        <is>
          <t/>
        </is>
      </c>
      <c r="Y9" s="59" t="inlineStr">
        <is>
          <t>Autofin</t>
        </is>
      </c>
      <c r="Z9" s="29"/>
      <c r="AA9" s="30"/>
      <c r="AB9" s="14" t="inlineStr">
        <is>
          <t>Athene</t>
        </is>
      </c>
      <c r="AC9" s="14" t="inlineStr">
        <is>
          <t>Cooperación por obra</t>
        </is>
      </c>
      <c r="AD9" s="50" t="inlineStr">
        <is>
          <t>Approved by  FID</t>
        </is>
      </c>
      <c r="AE9" s="14" t="n">
        <v>8539037868</v>
      </c>
    </row>
    <row customHeight="1" ht="20" r="10">
      <c r="A10" s="3" t="inlineStr">
        <is>
          <t>824008817 - Brett Clark - The Village</t>
        </is>
      </c>
      <c r="B10" s="14" t="inlineStr">
        <is>
          <t/>
        </is>
      </c>
      <c r="C10" s="14" t="n">
        <v>147200</v>
      </c>
      <c r="D10" s="13">
        <v>45947.0</v>
      </c>
      <c r="E10" s="14" t="inlineStr">
        <is>
          <t>lreyes@portilla.com.mx</t>
        </is>
      </c>
      <c r="F10" s="14" t="inlineStr">
        <is>
          <t>10/16: We had almost everythin to close. Hoewver, the borrowers decided to cancell the closing.
10/02: The borrowers are still delaying some steps. We have the confirmation that the POA arrived to Title Solutions. We are still awaiting for the missing technical documents, however there's no answer from the notary nor the developer. We are awiting the borrowers to sign the escrow agreement. We are awaiting for Autofin approval.
09/25: The borrowers are delaying some steps. It's difficult to work with them. Apparently, they granted another power of attorney and will send it. We have not confirmed whether it has been apostilled because they have not responded to my questions. 
They haven't signed the escrow agreement yet because they are "reading" it. 
We haven't received the SRE permit yet. 
However, we did receive the commercial appraisal and the CLG. We are waiting for the pending technical documents.</t>
        </is>
      </c>
      <c r="G10" s="51" t="inlineStr">
        <is>
          <t>All Received</t>
        </is>
      </c>
      <c r="H10" s="32" t="inlineStr">
        <is>
          <t>Approved by Legal</t>
        </is>
      </c>
      <c r="I10" s="13">
        <v>45932.0</v>
      </c>
      <c r="J10" s="18" t="inlineStr">
        <is>
          <t>Approved by Legal</t>
        </is>
      </c>
      <c r="K10" s="13" t="inlineStr">
        <is>
          <t/>
        </is>
      </c>
      <c r="L10" s="60" t="inlineStr">
        <is>
          <t>Received (MoXi)</t>
        </is>
      </c>
      <c r="M10" s="13" t="inlineStr">
        <is>
          <t/>
        </is>
      </c>
      <c r="N10" s="20" t="inlineStr">
        <is>
          <t>2015 Updated (MoXi)</t>
        </is>
      </c>
      <c r="O10" s="13" t="inlineStr">
        <is>
          <t/>
        </is>
      </c>
      <c r="P10" s="61" t="inlineStr">
        <is>
          <t>Approved by MoXi Attorney</t>
        </is>
      </c>
      <c r="Q10" s="53" t="inlineStr">
        <is>
          <t>ECTC Reviewed</t>
        </is>
      </c>
      <c r="R10" s="13" t="inlineStr">
        <is>
          <t/>
        </is>
      </c>
      <c r="S10" s="54" t="inlineStr">
        <is>
          <t>In process</t>
        </is>
      </c>
      <c r="T10" s="24" t="inlineStr">
        <is>
          <t>N/A</t>
        </is>
      </c>
      <c r="U10" s="62" t="inlineStr">
        <is>
          <t>Working on it</t>
        </is>
      </c>
      <c r="V10" s="57" t="inlineStr">
        <is>
          <t>Done</t>
        </is>
      </c>
      <c r="W10" s="63" t="inlineStr">
        <is>
          <t>In process</t>
        </is>
      </c>
      <c r="X10" s="14" t="inlineStr">
        <is>
          <t>824008817 - Brett Clark - The Village, 824008817 - Brett Clark - The Village</t>
        </is>
      </c>
      <c r="Y10" s="59" t="inlineStr">
        <is>
          <t>Autofin</t>
        </is>
      </c>
      <c r="Z10" s="29"/>
      <c r="AA10" s="30"/>
      <c r="AB10" s="14" t="inlineStr">
        <is>
          <t/>
        </is>
      </c>
      <c r="AC10" s="14" t="inlineStr">
        <is>
          <t>cedula catastral, Predial, Agua, Cooperación por obra, HOA, No Adeudo Predial</t>
        </is>
      </c>
      <c r="AD10" s="64" t="inlineStr">
        <is>
          <t>Partial Seller Docs</t>
        </is>
      </c>
      <c r="AE10" s="14" t="n">
        <v>8950079787</v>
      </c>
    </row>
    <row customHeight="1" ht="20" r="11">
      <c r="A11" s="3" t="inlineStr">
        <is>
          <t>824008770 - Stephen Medina - The Village</t>
        </is>
      </c>
      <c r="B11" s="14" t="inlineStr">
        <is>
          <t/>
        </is>
      </c>
      <c r="C11" s="14" t="n">
        <v>129300</v>
      </c>
      <c r="D11" s="13">
        <v>46021.0</v>
      </c>
      <c r="E11" s="14" t="inlineStr">
        <is>
          <t>lreyes@portilla.com.mx</t>
        </is>
      </c>
      <c r="F11" s="14" t="inlineStr">
        <is>
          <t>11/13: There's no updates regarding this closing.
11/06: I don't have clear what will happen with the Fiduciary institution. We sill don't have any updates on the parking lot situation.
10/30: There hasn't been any progress due to the situations with Autofin and the developer.
10/26: The developer told us we can have updates regarding the parking lot the third week f november. We sent an email to the borrower informing the situation.
10/16: We have not received an answer from the developer regarding the parking lot situation. We push almost wvery day, however there's no results.
10/02: It's very concerning the situation of this file. We have not received any news regarding the paking lot. The borrower will need to grant another POA.
09/25: We have not received an answer from the developer regarding the parking lot situation. If it's confirmed that is part of the closing we would need to request a new SRE permit, a new POA and the same documentation requested for the house.
We haven't received the SRE permit.
We are awaiting for the commercial appraisal.
We have not news regarding the apostille.
We have not received the missing technical documents.
09/19: The closing date was moved to the last week of October.
We are missing the same technical documents.
We have problems regarding the parking lot.
We need to confirm with the developer how will it be the treatment of the parking lot. Because maybe we would need to request another SRE permit for the parking lot.
We are awaiting for the appraisal.
We received the title commitment.
09/12: We shared the KYC form with the borrowers.
We are still awaiting fo the apostilled POA.
We are awaiting for the SRE permit.
We are awaiting for the missing technical documents.
We are awaiting for GES to approve the adjusted escrow agreement.
The borrowe keeps insisting that the closing needs to be last week of october.</t>
        </is>
      </c>
      <c r="G11" s="16" t="inlineStr">
        <is>
          <t>Stuck</t>
        </is>
      </c>
      <c r="H11" s="43" t="inlineStr">
        <is>
          <t>Stuck</t>
        </is>
      </c>
      <c r="I11" s="13" t="inlineStr">
        <is>
          <t/>
        </is>
      </c>
      <c r="J11" s="44" t="inlineStr">
        <is>
          <t>Stuck</t>
        </is>
      </c>
      <c r="K11" s="13" t="inlineStr">
        <is>
          <t/>
        </is>
      </c>
      <c r="L11" s="65" t="inlineStr">
        <is>
          <t>Stuck</t>
        </is>
      </c>
      <c r="M11" s="13" t="inlineStr">
        <is>
          <t/>
        </is>
      </c>
      <c r="N11" s="46" t="inlineStr">
        <is>
          <t>Stuck</t>
        </is>
      </c>
      <c r="O11" s="13" t="inlineStr">
        <is>
          <t/>
        </is>
      </c>
      <c r="P11" s="47" t="inlineStr">
        <is>
          <t>Stuck</t>
        </is>
      </c>
      <c r="Q11" s="53" t="inlineStr">
        <is>
          <t>ECTC Reviewed</t>
        </is>
      </c>
      <c r="R11" s="13" t="inlineStr">
        <is>
          <t/>
        </is>
      </c>
      <c r="S11" s="23" t="inlineStr">
        <is>
          <t>Stuck</t>
        </is>
      </c>
      <c r="T11" s="24" t="inlineStr">
        <is>
          <t>N/A</t>
        </is>
      </c>
      <c r="U11" s="25" t="inlineStr">
        <is>
          <t>Stuck</t>
        </is>
      </c>
      <c r="V11" s="49" t="inlineStr">
        <is>
          <t>Stuck</t>
        </is>
      </c>
      <c r="W11" s="66" t="inlineStr">
        <is>
          <t>Stuck</t>
        </is>
      </c>
      <c r="X11" s="14" t="inlineStr">
        <is>
          <t>824008770 - Stephen Medina - The Village</t>
        </is>
      </c>
      <c r="Y11" s="59" t="inlineStr">
        <is>
          <t>Autofin</t>
        </is>
      </c>
      <c r="Z11" s="29"/>
      <c r="AA11" s="30"/>
      <c r="AB11" s="14" t="inlineStr">
        <is>
          <t>Playa Financial</t>
        </is>
      </c>
      <c r="AC11" s="14" t="inlineStr">
        <is>
          <t>cedula catastral, Predial</t>
        </is>
      </c>
      <c r="AD11" s="64" t="inlineStr">
        <is>
          <t>Partial Seller Docs</t>
        </is>
      </c>
      <c r="AE11" s="14" t="n">
        <v>9169342893</v>
      </c>
    </row>
    <row customHeight="1" ht="20" r="12">
      <c r="A12" s="3" t="inlineStr">
        <is>
          <t>824009019 - Mark French - General Retail</t>
        </is>
      </c>
      <c r="B12" s="14" t="inlineStr">
        <is>
          <t/>
        </is>
      </c>
      <c r="C12" s="14" t="n">
        <v>233300</v>
      </c>
      <c r="D12" s="13">
        <v>45959.0</v>
      </c>
      <c r="E12" s="14" t="inlineStr">
        <is>
          <t>ERNESTO A. TABOADA, Ricardo Miguel Hernandez Sosa</t>
        </is>
      </c>
      <c r="F12" s="14" t="inlineStr">
        <is>
          <t>RH 10/24: (i) I am only waiting for the final approval for the notary to schedule the meeting at the notary to execute the public deed.</t>
        </is>
      </c>
      <c r="G12" s="51" t="inlineStr">
        <is>
          <t>All Received</t>
        </is>
      </c>
      <c r="H12" s="32" t="inlineStr">
        <is>
          <t>Approved by Legal</t>
        </is>
      </c>
      <c r="I12" s="13">
        <v>45855.0</v>
      </c>
      <c r="J12" s="18" t="inlineStr">
        <is>
          <t>Approved by Legal</t>
        </is>
      </c>
      <c r="K12" s="13" t="inlineStr">
        <is>
          <t/>
        </is>
      </c>
      <c r="L12" s="60" t="inlineStr">
        <is>
          <t>Received (MoXi)</t>
        </is>
      </c>
      <c r="M12" s="13" t="inlineStr">
        <is>
          <t/>
        </is>
      </c>
      <c r="N12" s="20" t="inlineStr">
        <is>
          <t>2015 Updated (MoXi)</t>
        </is>
      </c>
      <c r="O12" s="13" t="inlineStr">
        <is>
          <t/>
        </is>
      </c>
      <c r="P12" s="67" t="inlineStr">
        <is>
          <t>Ready to review</t>
        </is>
      </c>
      <c r="Q12" s="53" t="inlineStr">
        <is>
          <t>ECTC Reviewed</t>
        </is>
      </c>
      <c r="R12" s="13" t="inlineStr">
        <is>
          <t/>
        </is>
      </c>
      <c r="S12" s="68" t="inlineStr">
        <is>
          <t>Received</t>
        </is>
      </c>
      <c r="T12" s="69" t="inlineStr">
        <is>
          <t>Seller is in charge</t>
        </is>
      </c>
      <c r="U12" s="62" t="inlineStr">
        <is>
          <t>Working on it</t>
        </is>
      </c>
      <c r="V12" s="57" t="inlineStr">
        <is>
          <t>Done</t>
        </is>
      </c>
      <c r="W12" s="58" t="inlineStr">
        <is>
          <t>Done</t>
        </is>
      </c>
      <c r="X12" s="14" t="inlineStr">
        <is>
          <t>824009019 - Mark French - General Retail</t>
        </is>
      </c>
      <c r="Y12" s="28" t="inlineStr">
        <is>
          <t>Mifel</t>
        </is>
      </c>
      <c r="Z12" s="29"/>
      <c r="AA12" s="30"/>
      <c r="AB12" s="14" t="inlineStr">
        <is>
          <t>Athene</t>
        </is>
      </c>
      <c r="AC12" s="14" t="inlineStr">
        <is>
          <t>No Adeudo Predial, HOA, Aviso Preventivo</t>
        </is>
      </c>
      <c r="AD12" s="70" t="inlineStr">
        <is>
          <t>In process</t>
        </is>
      </c>
      <c r="AE12" s="14" t="n">
        <v>9169345502</v>
      </c>
    </row>
    <row customHeight="1" ht="20" r="13">
      <c r="A13" s="3" t="inlineStr">
        <is>
          <t>824008712 - Mensch - General Retail</t>
        </is>
      </c>
      <c r="B13" s="14" t="inlineStr">
        <is>
          <t/>
        </is>
      </c>
      <c r="C13" s="14" t="n">
        <v>349400</v>
      </c>
      <c r="D13" s="13">
        <v>45987.0</v>
      </c>
      <c r="E13" s="14" t="inlineStr">
        <is>
          <t>Yasmin Yektajo Farzand Shad</t>
        </is>
      </c>
      <c r="F13" s="14" t="inlineStr">
        <is>
          <t>YY 10/02: ON HOLD</t>
        </is>
      </c>
      <c r="G13" s="51" t="inlineStr">
        <is>
          <t>All Received</t>
        </is>
      </c>
      <c r="H13" s="71" t="inlineStr">
        <is>
          <t>Requested (MoXi)</t>
        </is>
      </c>
      <c r="I13" s="13" t="inlineStr">
        <is>
          <t/>
        </is>
      </c>
      <c r="J13" s="72" t="inlineStr">
        <is>
          <t>Requested (MoXi)</t>
        </is>
      </c>
      <c r="K13" s="13" t="inlineStr">
        <is>
          <t/>
        </is>
      </c>
      <c r="L13" s="34" t="inlineStr">
        <is>
          <t>Not ready to request</t>
        </is>
      </c>
      <c r="M13" s="13" t="inlineStr">
        <is>
          <t/>
        </is>
      </c>
      <c r="N13" s="73" t="inlineStr">
        <is>
          <t>Requested</t>
        </is>
      </c>
      <c r="O13" s="13" t="inlineStr">
        <is>
          <t/>
        </is>
      </c>
      <c r="P13" s="47" t="inlineStr">
        <is>
          <t>Stuck</t>
        </is>
      </c>
      <c r="Q13" s="37" t="inlineStr">
        <is>
          <t>Not Ready to Review</t>
        </is>
      </c>
      <c r="R13" s="13" t="inlineStr">
        <is>
          <t/>
        </is>
      </c>
      <c r="S13" s="74" t="inlineStr">
        <is>
          <t>Working on the permit request</t>
        </is>
      </c>
      <c r="T13" s="75" t="inlineStr">
        <is>
          <t>Working on Cancelation</t>
        </is>
      </c>
      <c r="U13" s="62" t="inlineStr">
        <is>
          <t>Working on it</t>
        </is>
      </c>
      <c r="V13" s="57" t="inlineStr">
        <is>
          <t>Done</t>
        </is>
      </c>
      <c r="W13" s="76" t="inlineStr">
        <is>
          <t>Requested</t>
        </is>
      </c>
      <c r="X13" s="14" t="inlineStr">
        <is>
          <t/>
        </is>
      </c>
      <c r="Y13" s="28" t="inlineStr">
        <is>
          <t>Mifel</t>
        </is>
      </c>
      <c r="Z13" s="29"/>
      <c r="AA13" s="30"/>
      <c r="AB13" s="14" t="inlineStr">
        <is>
          <t>Athene</t>
        </is>
      </c>
      <c r="AC13" s="14" t="inlineStr">
        <is>
          <t/>
        </is>
      </c>
      <c r="AD13" s="31" t="inlineStr">
        <is>
          <t>N/A</t>
        </is>
      </c>
      <c r="AE13" s="14" t="n">
        <v>8693508141</v>
      </c>
    </row>
    <row customHeight="1" ht="20" r="14">
      <c r="A14" s="3" t="inlineStr">
        <is>
          <t>824009099 - Jorge Soto Diaz - General Retail - PV</t>
        </is>
      </c>
      <c r="B14" s="14" t="inlineStr">
        <is>
          <t/>
        </is>
      </c>
      <c r="C14" s="14" t="n">
        <v>250000</v>
      </c>
      <c r="D14" s="13">
        <v>46006.0</v>
      </c>
      <c r="E14" s="14" t="inlineStr">
        <is>
          <t>MARIANA PINEDA PASQUEL</t>
        </is>
      </c>
      <c r="F14" s="14" t="inlineStr">
        <is>
          <t>13/11/2025 MP we are waiting for the notary to send the project.
06/11/2025 we have received the trust permit, the commercial appraisal is ready and uploaded to encompass, I requested to the notary the project for our review. waitinf for Amy to approve the POA waiver
31/10/2025 MP I have requested the trust permit to MIFEL, I have requested the downpayment to the notary from the borrower, both appraisal were ordered also the tile search. waiting for Amy to approve the poa waiver.
MP 24/10/2025 the regime is ready, the developer has send all the information for our review. I have contacted the notary, I have requested the appraisals to Servando and Alejandra and title search.
MP 10/10/2025 I have contacted the developer and the regime it is not ready. they think it will be ready any time now. they will let us know.
MP 03/10/2025 apparently the property regime will be ready at the end of Seoptember. 
MP 20/06/2025 the property regime will not be ready for another 2 months 
MP 29/05/2025 I have sent the first email to the borrower with no response. I will insist.</t>
        </is>
      </c>
      <c r="G14" s="77" t="inlineStr">
        <is>
          <t>Requested</t>
        </is>
      </c>
      <c r="H14" s="17" t="inlineStr">
        <is>
          <t>Received (MoXi)</t>
        </is>
      </c>
      <c r="I14" s="13" t="inlineStr">
        <is>
          <t/>
        </is>
      </c>
      <c r="J14" s="72" t="inlineStr">
        <is>
          <t>Requested (MoXi)</t>
        </is>
      </c>
      <c r="K14" s="13" t="inlineStr">
        <is>
          <t/>
        </is>
      </c>
      <c r="L14" s="78" t="inlineStr">
        <is>
          <t/>
        </is>
      </c>
      <c r="M14" s="13" t="inlineStr">
        <is>
          <t/>
        </is>
      </c>
      <c r="N14" s="79" t="inlineStr">
        <is>
          <t>Received &amp; Uploaded to Encompass</t>
        </is>
      </c>
      <c r="O14" s="13" t="inlineStr">
        <is>
          <t/>
        </is>
      </c>
      <c r="P14" s="21" t="inlineStr">
        <is>
          <t>Requested</t>
        </is>
      </c>
      <c r="Q14" s="22"/>
      <c r="R14" s="13" t="inlineStr">
        <is>
          <t/>
        </is>
      </c>
      <c r="S14" s="68" t="inlineStr">
        <is>
          <t>Received</t>
        </is>
      </c>
      <c r="T14" s="69" t="inlineStr">
        <is>
          <t>Seller is in charge</t>
        </is>
      </c>
      <c r="U14" s="80"/>
      <c r="V14" s="81" t="inlineStr">
        <is>
          <t>Not ready to request it</t>
        </is>
      </c>
      <c r="W14" s="82" t="inlineStr">
        <is>
          <t>Working on it</t>
        </is>
      </c>
      <c r="X14" s="14" t="inlineStr">
        <is>
          <t>824009099 - Jorge Soto Diaz - General Retail - PV</t>
        </is>
      </c>
      <c r="Y14" s="28" t="inlineStr">
        <is>
          <t>Mifel</t>
        </is>
      </c>
      <c r="Z14" s="29"/>
      <c r="AA14" s="30"/>
      <c r="AB14" s="14" t="inlineStr">
        <is>
          <t>Athene</t>
        </is>
      </c>
      <c r="AC14" s="14" t="inlineStr">
        <is>
          <t/>
        </is>
      </c>
      <c r="AD14" s="31" t="inlineStr">
        <is>
          <t>N/A</t>
        </is>
      </c>
      <c r="AE14" s="14" t="n">
        <v>9169330118</v>
      </c>
    </row>
    <row customHeight="1" ht="20" r="15">
      <c r="A15" s="3" t="inlineStr">
        <is>
          <t>824008965 - Lynnae Schneller - General Retail</t>
        </is>
      </c>
      <c r="B15" s="14" t="inlineStr">
        <is>
          <t/>
        </is>
      </c>
      <c r="C15" s="14" t="n">
        <v>1199700</v>
      </c>
      <c r="D15" s="13">
        <v>46052.0</v>
      </c>
      <c r="E15" s="14" t="inlineStr">
        <is>
          <t>Ricardo Miguel Hernandez Sosa</t>
        </is>
      </c>
      <c r="F15" s="14" t="inlineStr">
        <is>
          <t>RH 10/31: A follow up email is scheduled to be sent on November.</t>
        </is>
      </c>
      <c r="G15" s="83"/>
      <c r="H15" s="84" t="inlineStr">
        <is>
          <t>Not ready to requested</t>
        </is>
      </c>
      <c r="I15" s="13" t="inlineStr">
        <is>
          <t/>
        </is>
      </c>
      <c r="J15" s="85" t="inlineStr">
        <is>
          <t>Not ready to requested</t>
        </is>
      </c>
      <c r="K15" s="13" t="inlineStr">
        <is>
          <t/>
        </is>
      </c>
      <c r="L15" s="34" t="inlineStr">
        <is>
          <t>Not ready to request</t>
        </is>
      </c>
      <c r="M15" s="13" t="inlineStr">
        <is>
          <t/>
        </is>
      </c>
      <c r="N15" s="35" t="inlineStr">
        <is>
          <t>Not ready to request</t>
        </is>
      </c>
      <c r="O15" s="13" t="inlineStr">
        <is>
          <t/>
        </is>
      </c>
      <c r="P15" s="36" t="inlineStr">
        <is>
          <t>Not ready to requested</t>
        </is>
      </c>
      <c r="Q15" s="37" t="inlineStr">
        <is>
          <t>Not Ready to Review</t>
        </is>
      </c>
      <c r="R15" s="13" t="inlineStr">
        <is>
          <t/>
        </is>
      </c>
      <c r="S15" s="38" t="inlineStr">
        <is>
          <t>Not ready to request it</t>
        </is>
      </c>
      <c r="T15" s="39" t="inlineStr">
        <is>
          <t>Not ready to request</t>
        </is>
      </c>
      <c r="U15" s="40" t="inlineStr">
        <is>
          <t>Not ready to request</t>
        </is>
      </c>
      <c r="V15" s="81" t="inlineStr">
        <is>
          <t>Not ready to request it</t>
        </is>
      </c>
      <c r="W15" s="41" t="inlineStr">
        <is>
          <t>Not ready to requested</t>
        </is>
      </c>
      <c r="X15" s="14" t="inlineStr">
        <is>
          <t>824008965 - Lynnae Schneller - General Retail</t>
        </is>
      </c>
      <c r="Y15" s="28" t="inlineStr">
        <is>
          <t>Mifel</t>
        </is>
      </c>
      <c r="Z15" s="29"/>
      <c r="AA15" s="30"/>
      <c r="AB15" s="14" t="inlineStr">
        <is>
          <t>Athene</t>
        </is>
      </c>
      <c r="AC15" s="14" t="inlineStr">
        <is>
          <t/>
        </is>
      </c>
      <c r="AD15" s="31" t="inlineStr">
        <is>
          <t>N/A</t>
        </is>
      </c>
      <c r="AE15" s="14" t="n">
        <v>8950090522</v>
      </c>
    </row>
    <row customHeight="1" ht="20" r="16">
      <c r="A16" s="3" t="inlineStr">
        <is>
          <t>824008348 - Ejde - General Retail</t>
        </is>
      </c>
      <c r="B16" s="14" t="inlineStr">
        <is>
          <t/>
        </is>
      </c>
      <c r="C16" s="14" t="n">
        <v>300000</v>
      </c>
      <c r="D16" s="13">
        <v>46022.0</v>
      </c>
      <c r="E16" s="14" t="inlineStr">
        <is>
          <t>MARIANA PINEDA PASQUEL</t>
        </is>
      </c>
      <c r="F16" s="14" t="inlineStr">
        <is>
          <t>MP 13/11/2025 I have contacted the developer, they think the regime will be ready by the second or third week of November.
MP 05/09/2025. the property regime will be ready by September 2025.</t>
        </is>
      </c>
      <c r="G16" s="16" t="inlineStr">
        <is>
          <t>Stuck</t>
        </is>
      </c>
      <c r="H16" s="84" t="inlineStr">
        <is>
          <t>Not ready to requested</t>
        </is>
      </c>
      <c r="I16" s="13" t="inlineStr">
        <is>
          <t/>
        </is>
      </c>
      <c r="J16" s="85" t="inlineStr">
        <is>
          <t>Not ready to requested</t>
        </is>
      </c>
      <c r="K16" s="13" t="inlineStr">
        <is>
          <t/>
        </is>
      </c>
      <c r="L16" s="34" t="inlineStr">
        <is>
          <t>Not ready to request</t>
        </is>
      </c>
      <c r="M16" s="13" t="inlineStr">
        <is>
          <t/>
        </is>
      </c>
      <c r="N16" s="35" t="inlineStr">
        <is>
          <t>Not ready to request</t>
        </is>
      </c>
      <c r="O16" s="13" t="inlineStr">
        <is>
          <t/>
        </is>
      </c>
      <c r="P16" s="36" t="inlineStr">
        <is>
          <t>Not ready to requested</t>
        </is>
      </c>
      <c r="Q16" s="37" t="inlineStr">
        <is>
          <t>Not Ready to Review</t>
        </is>
      </c>
      <c r="R16" s="13" t="inlineStr">
        <is>
          <t/>
        </is>
      </c>
      <c r="S16" s="38" t="inlineStr">
        <is>
          <t>Not ready to request it</t>
        </is>
      </c>
      <c r="T16" s="39" t="inlineStr">
        <is>
          <t>Not ready to request</t>
        </is>
      </c>
      <c r="U16" s="40" t="inlineStr">
        <is>
          <t>Not ready to request</t>
        </is>
      </c>
      <c r="V16" s="81" t="inlineStr">
        <is>
          <t>Not ready to request it</t>
        </is>
      </c>
      <c r="W16" s="41" t="inlineStr">
        <is>
          <t>Not ready to requested</t>
        </is>
      </c>
      <c r="X16" s="14" t="inlineStr">
        <is>
          <t>824008348 - Ejde - General Retail</t>
        </is>
      </c>
      <c r="Y16" s="28" t="inlineStr">
        <is>
          <t>Mifel</t>
        </is>
      </c>
      <c r="Z16" s="29"/>
      <c r="AA16" s="30"/>
      <c r="AB16" s="14" t="inlineStr">
        <is>
          <t>Athene</t>
        </is>
      </c>
      <c r="AC16" s="14" t="inlineStr">
        <is>
          <t>no hay ninguno</t>
        </is>
      </c>
      <c r="AD16" s="86" t="inlineStr">
        <is>
          <t>No Seller Doc</t>
        </is>
      </c>
      <c r="AE16" s="14" t="n">
        <v>8950088440</v>
      </c>
    </row>
    <row customHeight="1" ht="20" r="17">
      <c r="A17" s="3" t="inlineStr">
        <is>
          <t>824008787 - Lemke General Retail</t>
        </is>
      </c>
      <c r="B17" s="14" t="inlineStr">
        <is>
          <t/>
        </is>
      </c>
      <c r="C17" s="14" t="n">
        <v>2000000</v>
      </c>
      <c r="D17" s="13">
        <v>45987.0</v>
      </c>
      <c r="E17" s="14" t="inlineStr">
        <is>
          <t>Amanda Yee</t>
        </is>
      </c>
      <c r="F17" s="14" t="inlineStr">
        <is>
          <t>AY 11/14: Draft deed has been received and is currently under Sagrario's review. Permit modification is in process.
AY 11/7: Awaiting to receive the draft deed. Working on the draft of the S.R.E. permit modification and instruction letter.
AY 10/31: Advanced payment has been made to the notary. Notary is already working on the preventive notice, CLG and draft deed.
AY 10/24: Awaiting the manifestation. We will request assistance from the CC to reach out to the borrower, and we will also follow up directly with him.
AY 10/17: Awaiting the manifestation. The borrower mentioned it should be ready in the next few days and will inform us once it is.
AY 10/9: Follow-up was conducted with the borrower. He estimates that the manifestation will be received sometime this week.
AY 10/3: The notary quote has been uploaded to Encompass. Awaiting the manifestation of constructions. I will check with the borrower to see if he would like to proceed with making the advance payment to the notary.
AY 9/26: We are awaiting the Manifestation of Construction in order to properly proceed with the transaction. In the meantime, I have reached out to Notary 31 to share the file with them.
AY 9/19:The Notice of Substantial Completion is expected to be obtained soon. According to the borrower’s communication, the Manifestation of Construction will take longer. He does not have a specific timeline at the moment but will keep me updated.
AY 9/12: Substantial completion will be ready this week, however we are pending to receive the notice of termination.
AY 8/28: We will send a follow-up email to the borrower to request an update regarding the construction.
AY 8/21: On hold. Construction is estimated to be completed by September.
AY 8/15: On hold. Construction is estimated to be completed by September 2025.
AY 8/8: On hold. Construction is estimated to be completed by September 2025.
AY 7/31: On hold. Under construction.</t>
        </is>
      </c>
      <c r="G17" s="16" t="inlineStr">
        <is>
          <t>Stuck</t>
        </is>
      </c>
      <c r="H17" s="71" t="inlineStr">
        <is>
          <t>Requested (MoXi)</t>
        </is>
      </c>
      <c r="I17" s="13" t="inlineStr">
        <is>
          <t/>
        </is>
      </c>
      <c r="J17" s="72" t="inlineStr">
        <is>
          <t>Requested (MoXi)</t>
        </is>
      </c>
      <c r="K17" s="13" t="inlineStr">
        <is>
          <t/>
        </is>
      </c>
      <c r="L17" s="34" t="inlineStr">
        <is>
          <t>Not ready to request</t>
        </is>
      </c>
      <c r="M17" s="13" t="inlineStr">
        <is>
          <t/>
        </is>
      </c>
      <c r="N17" s="79" t="inlineStr">
        <is>
          <t>Received &amp; Uploaded to Encompass</t>
        </is>
      </c>
      <c r="O17" s="13" t="inlineStr">
        <is>
          <t/>
        </is>
      </c>
      <c r="P17" s="47" t="inlineStr">
        <is>
          <t>Stuck</t>
        </is>
      </c>
      <c r="Q17" s="87" t="inlineStr">
        <is>
          <t>Stuck</t>
        </is>
      </c>
      <c r="R17" s="13" t="inlineStr">
        <is>
          <t/>
        </is>
      </c>
      <c r="S17" s="23" t="inlineStr">
        <is>
          <t>Stuck</t>
        </is>
      </c>
      <c r="T17" s="39" t="inlineStr">
        <is>
          <t>Not ready to request</t>
        </is>
      </c>
      <c r="U17" s="40" t="inlineStr">
        <is>
          <t>Not ready to request</t>
        </is>
      </c>
      <c r="V17" s="49" t="inlineStr">
        <is>
          <t>Stuck</t>
        </is>
      </c>
      <c r="W17" s="88" t="inlineStr">
        <is>
          <t>N/A</t>
        </is>
      </c>
      <c r="X17" s="14" t="inlineStr">
        <is>
          <t/>
        </is>
      </c>
      <c r="Y17" s="28" t="inlineStr">
        <is>
          <t>Mifel</t>
        </is>
      </c>
      <c r="Z17" s="29"/>
      <c r="AA17" s="30"/>
      <c r="AB17" s="14" t="inlineStr">
        <is>
          <t>Athene</t>
        </is>
      </c>
      <c r="AC17" s="14" t="inlineStr">
        <is>
          <t/>
        </is>
      </c>
      <c r="AD17" s="31" t="inlineStr">
        <is>
          <t>N/A</t>
        </is>
      </c>
      <c r="AE17" s="14" t="n">
        <v>8534278200</v>
      </c>
    </row>
    <row customHeight="1" ht="20" r="18">
      <c r="A18" s="3" t="inlineStr">
        <is>
          <t>824009020 - Matthew Disbrow - General Retail</t>
        </is>
      </c>
      <c r="B18" s="14" t="inlineStr">
        <is>
          <t/>
        </is>
      </c>
      <c r="C18" s="14" t="n">
        <v>306700</v>
      </c>
      <c r="D18" s="13">
        <v>46112.0</v>
      </c>
      <c r="E18" s="14" t="inlineStr">
        <is>
          <t>Beatriz Meléndez</t>
        </is>
      </c>
      <c r="F18" s="14" t="inlineStr">
        <is>
          <t>11/13  BM - Waiting to receive the documents I requested from the developer.
11/06 BM - Waiting to receive the documents I requested from the developer.
10/30 BM - Waiting to receive the documents I requested from the developer.
10/23 BM - Waiting to receive the documents I requested from the developer.
10/16 BM - Waiting to receive the documents I requested from the developer.
10/09 BM - Waiting to receive the documents I requested from the developer.
10/02 BM - I managed to speak with the developer. He informed me that they wouldn't have the condo until mid-January, so I suggested moving the closi
09/25 BM - I'm still waiting to receive the documents I requested from the developer.
09/18 BM - I'm still waiting to receive the documents I requested from the developer.
09/04 BM-I sent a follow-up email to the new contact the client provided. Unfortunately, I haven't heard back from the developer yet.
08/28 BM - I contacted the client and asked for another contact for the developer. I have already sent a new email requesting the documents for the property and the seller.
08/21 BM - I sent another follow-up email to the developer, but so far I have not heard back.
07/31 BM - I still have not received a response from the developer. The condominium is under construction and the delivery date is in January 2026.
07/24 BM-  I still have not received a response from the developer. The condominium is under construction and the delivery date is in January 2026.
07/17 BM - I still have not received a response from the developer. The condominium is under construction and the delivery date is in January 2026.
07/10 BM - The condominium is still under construction, and the delivery date in the purchase agreement is January 2026.
07/03 BM - I sent another email to the developer requesting documentation, but so far I have not heard back.
06/26 BM - I sent another email to the developer requesting documentation, but so far I have not heard back.</t>
        </is>
      </c>
      <c r="G18" s="16" t="inlineStr">
        <is>
          <t>Stuck</t>
        </is>
      </c>
      <c r="H18" s="84" t="inlineStr">
        <is>
          <t>Not ready to requested</t>
        </is>
      </c>
      <c r="I18" s="13" t="inlineStr">
        <is>
          <t/>
        </is>
      </c>
      <c r="J18" s="85" t="inlineStr">
        <is>
          <t>Not ready to requested</t>
        </is>
      </c>
      <c r="K18" s="13" t="inlineStr">
        <is>
          <t/>
        </is>
      </c>
      <c r="L18" s="34" t="inlineStr">
        <is>
          <t>Not ready to request</t>
        </is>
      </c>
      <c r="M18" s="13" t="inlineStr">
        <is>
          <t/>
        </is>
      </c>
      <c r="N18" s="35" t="inlineStr">
        <is>
          <t>Not ready to request</t>
        </is>
      </c>
      <c r="O18" s="13" t="inlineStr">
        <is>
          <t/>
        </is>
      </c>
      <c r="P18" s="36" t="inlineStr">
        <is>
          <t>Not ready to requested</t>
        </is>
      </c>
      <c r="Q18" s="37" t="inlineStr">
        <is>
          <t>Not Ready to Review</t>
        </is>
      </c>
      <c r="R18" s="13" t="inlineStr">
        <is>
          <t/>
        </is>
      </c>
      <c r="S18" s="38" t="inlineStr">
        <is>
          <t>Not ready to request it</t>
        </is>
      </c>
      <c r="T18" s="39" t="inlineStr">
        <is>
          <t>Not ready to request</t>
        </is>
      </c>
      <c r="U18" s="40" t="inlineStr">
        <is>
          <t>Not ready to request</t>
        </is>
      </c>
      <c r="V18" s="81" t="inlineStr">
        <is>
          <t>Not ready to request it</t>
        </is>
      </c>
      <c r="W18" s="41" t="inlineStr">
        <is>
          <t>Not ready to requested</t>
        </is>
      </c>
      <c r="X18" s="14" t="inlineStr">
        <is>
          <t>824009020 - Matthew Disbrow - General Retail</t>
        </is>
      </c>
      <c r="Y18" s="28" t="inlineStr">
        <is>
          <t>Mifel</t>
        </is>
      </c>
      <c r="Z18" s="29"/>
      <c r="AA18" s="30"/>
      <c r="AB18" s="14" t="inlineStr">
        <is>
          <t>Athene</t>
        </is>
      </c>
      <c r="AC18" s="14" t="inlineStr">
        <is>
          <t/>
        </is>
      </c>
      <c r="AD18" s="31" t="inlineStr">
        <is>
          <t>N/A</t>
        </is>
      </c>
      <c r="AE18" s="14" t="n">
        <v>9283111698</v>
      </c>
    </row>
    <row customHeight="1" ht="20" r="19">
      <c r="A19" s="3" t="inlineStr">
        <is>
          <t>824009045 - James Jacobsen - Non Retail</t>
        </is>
      </c>
      <c r="B19" s="14" t="inlineStr">
        <is>
          <t/>
        </is>
      </c>
      <c r="C19" s="14" t="n">
        <v>3000000</v>
      </c>
      <c r="D19" s="13">
        <v>45961.0</v>
      </c>
      <c r="E19" s="14" t="inlineStr">
        <is>
          <t>Amanda Yee</t>
        </is>
      </c>
      <c r="F19" s="14" t="inlineStr">
        <is>
          <t>MO 9/5   received confirmation from UW that the file is cancelled and to create the reimbursement statement AY 8/28: Ivan Guerrero will reach out to the developer's attorneys.
AY 8/21: No response has been received from the seller’s attorney team.
AY 8/15: We have sent a follow-up email to the developer’s attorneys but have not yet received a response.
AY 8/8: We have sent a follow-up email to the developer’s attorneys but have not yet received a response.
AY 7/31: A follow-up email was sent to the developer's attorney in order to understand when they expect to complete the manifestation of constructions. Awaiting for their response.
AY 7/23: Awaiting the manifestation of constructions.
AY 7/17: Awaiting to receive the manifestation of the constructions. 
AY 7/11: Awaiting for the manifestation of constructions.
AY 7/4: ON HOLD. The property has not yet been manifested. The seller's attorney will consult with the Costa Palmas team to determine how long this process will take.
AY 6/26: A call was held with the seller's attorney in order to discuss the lender's legal structure. Awaiting to receive property docs.
AY 6/19: Awaiting for property docs.
AY 6/13: We have contacted to the seller's team. Awaiting for the property docs.
AY 6/4: Welcome email has been sent to the borrower. We need to get the seller information in order to start gathering all the property docs from Four Seasons at Costa Palmas.</t>
        </is>
      </c>
      <c r="G19" s="16" t="inlineStr">
        <is>
          <t>Stuck</t>
        </is>
      </c>
      <c r="H19" s="84" t="inlineStr">
        <is>
          <t>Not ready to requested</t>
        </is>
      </c>
      <c r="I19" s="13" t="inlineStr">
        <is>
          <t/>
        </is>
      </c>
      <c r="J19" s="72" t="inlineStr">
        <is>
          <t>Requested (MoXi)</t>
        </is>
      </c>
      <c r="K19" s="13" t="inlineStr">
        <is>
          <t/>
        </is>
      </c>
      <c r="L19" s="78" t="inlineStr">
        <is>
          <t/>
        </is>
      </c>
      <c r="M19" s="13" t="inlineStr">
        <is>
          <t/>
        </is>
      </c>
      <c r="N19" s="35" t="inlineStr">
        <is>
          <t>Not ready to request</t>
        </is>
      </c>
      <c r="O19" s="13" t="inlineStr">
        <is>
          <t/>
        </is>
      </c>
      <c r="P19" s="36" t="inlineStr">
        <is>
          <t>Not ready to requested</t>
        </is>
      </c>
      <c r="Q19" s="22"/>
      <c r="R19" s="13" t="inlineStr">
        <is>
          <t/>
        </is>
      </c>
      <c r="S19" s="38" t="inlineStr">
        <is>
          <t>Not ready to request it</t>
        </is>
      </c>
      <c r="T19" s="39" t="inlineStr">
        <is>
          <t>Not ready to request</t>
        </is>
      </c>
      <c r="U19" s="40" t="inlineStr">
        <is>
          <t>Not ready to request</t>
        </is>
      </c>
      <c r="V19" s="81" t="inlineStr">
        <is>
          <t>Not ready to request it</t>
        </is>
      </c>
      <c r="W19" s="41" t="inlineStr">
        <is>
          <t>Not ready to requested</t>
        </is>
      </c>
      <c r="X19" s="14" t="inlineStr">
        <is>
          <t>824009045 - James Jacobsen - Non Retail</t>
        </is>
      </c>
      <c r="Y19" s="28" t="inlineStr">
        <is>
          <t>Mifel</t>
        </is>
      </c>
      <c r="Z19" s="29"/>
      <c r="AA19" s="30"/>
      <c r="AB19" s="14" t="inlineStr">
        <is>
          <t>Athene</t>
        </is>
      </c>
      <c r="AC19" s="14" t="inlineStr">
        <is>
          <t/>
        </is>
      </c>
      <c r="AD19" s="31" t="inlineStr">
        <is>
          <t>N/A</t>
        </is>
      </c>
      <c r="AE19" s="14" t="n">
        <v>9283116900</v>
      </c>
    </row>
    <row customHeight="1" ht="20" r="20">
      <c r="A20" s="3" t="inlineStr">
        <is>
          <t>824009085 - Nadine Hyacinth - General Retail</t>
        </is>
      </c>
      <c r="B20" s="14" t="inlineStr">
        <is>
          <t/>
        </is>
      </c>
      <c r="C20" s="14" t="n">
        <v>311000</v>
      </c>
      <c r="D20" s="13">
        <v>45961.0</v>
      </c>
      <c r="E20" s="14" t="inlineStr">
        <is>
          <t>ERNESTO A. TABOADA</t>
        </is>
      </c>
      <c r="F20" s="14" t="inlineStr">
        <is>
          <t>31.10.25: Public deed to be executed today.
16.10.  File is under Monex review. All requested documents have been sent to monex and notary public
10.10. Public deed has been reviewed by Sagrario. Monex reviewing KYC format and controlling beneficiary format. Pending to receive proof of address of Veltra.
03.10. We have received first version of public deed, monex instuction letter has been requested. Notary public file is completed.
9/26: Awaiting for the deed project.
12.09Notary Public working on a public deed project. Waiting for hyacinth to execute instruction letter.
05.09.2025: Notary public to start to prepare public deed proyect. CLG and preventive notice requested.
28.08. We got in contact with Maria Barjas from Veltra, corporate information under Notary Public review.
21.08.: Hyacinth got in touch with Maria Barajas from Veltra, still pending to obtain requested and needed information.
15.08. Property inspection done 14.08.25. Pending to receive response from Maria Barajas from Veltra capital.
08.08.25.  Cadastral certificate has been obtain, public deed with registry stamps as well. Inspection. Hyacinth is getting in touch wiith Veltra Capital, we have not received answer by them.
01.08.25: Cadastral Certificate requested, to be paid.  Maria Barajas from veltra Capital has not answer the communications.
7/11: The borrower has obtained copy of the full recorded deed. We have initiated contact with the notary.
03.07.25: Pending to receive from Veltra, their bank statement. Vivian Laverde will obtain pulic deed with public registry stamps.
27.06.25:  Borrower didn´t have registration stamps, Vivian will help obtain correct version.  Veltra capital was contacted, waitng for response.
19.06.25: First contact was made, we receive the contact of the first place beneficary for the rexpresion of current guarantee trust.  Contact with monex was done for the modification of the trust agreement.</t>
        </is>
      </c>
      <c r="G20" s="51" t="inlineStr">
        <is>
          <t>All Received</t>
        </is>
      </c>
      <c r="H20" s="17" t="inlineStr">
        <is>
          <t>Received (MoXi)</t>
        </is>
      </c>
      <c r="I20" s="13" t="inlineStr">
        <is>
          <t/>
        </is>
      </c>
      <c r="J20" s="33" t="inlineStr">
        <is>
          <t>Received (MoXi)</t>
        </is>
      </c>
      <c r="K20" s="13" t="inlineStr">
        <is>
          <t/>
        </is>
      </c>
      <c r="L20" s="45" t="inlineStr">
        <is>
          <t>N/A</t>
        </is>
      </c>
      <c r="M20" s="13" t="inlineStr">
        <is>
          <t/>
        </is>
      </c>
      <c r="N20" s="73" t="inlineStr">
        <is>
          <t>Requested</t>
        </is>
      </c>
      <c r="O20" s="13" t="inlineStr">
        <is>
          <t/>
        </is>
      </c>
      <c r="P20" s="67" t="inlineStr">
        <is>
          <t>Ready to review</t>
        </is>
      </c>
      <c r="Q20" s="22"/>
      <c r="R20" s="13" t="inlineStr">
        <is>
          <t/>
        </is>
      </c>
      <c r="S20" s="74" t="inlineStr">
        <is>
          <t>Working on the permit request</t>
        </is>
      </c>
      <c r="T20" s="39" t="inlineStr">
        <is>
          <t>Not ready to request</t>
        </is>
      </c>
      <c r="U20" s="40" t="inlineStr">
        <is>
          <t>Not ready to request</t>
        </is>
      </c>
      <c r="V20" s="26" t="inlineStr">
        <is>
          <t>Waived</t>
        </is>
      </c>
      <c r="W20" s="88" t="inlineStr">
        <is>
          <t>N/A</t>
        </is>
      </c>
      <c r="X20" s="14" t="inlineStr">
        <is>
          <t>824009085 - Nadine Hyacinth - General Retail</t>
        </is>
      </c>
      <c r="Y20" s="89" t="inlineStr">
        <is>
          <t>Monex</t>
        </is>
      </c>
      <c r="Z20" s="29"/>
      <c r="AA20" s="30"/>
      <c r="AB20" s="14" t="inlineStr">
        <is>
          <t>Athene</t>
        </is>
      </c>
      <c r="AC20" s="14" t="inlineStr">
        <is>
          <t/>
        </is>
      </c>
      <c r="AD20" s="31" t="inlineStr">
        <is>
          <t>N/A</t>
        </is>
      </c>
      <c r="AE20" s="14" t="n">
        <v>9324310009</v>
      </c>
    </row>
    <row customHeight="1" ht="20" r="21">
      <c r="A21" s="3" t="inlineStr">
        <is>
          <t>824009198 - Matthew Rimmer - General Retail - SMA</t>
        </is>
      </c>
      <c r="B21" s="14" t="inlineStr">
        <is>
          <t/>
        </is>
      </c>
      <c r="C21" s="14" t="n">
        <v>360450</v>
      </c>
      <c r="D21" s="13">
        <v>45930.0</v>
      </c>
      <c r="E21" s="14" t="inlineStr">
        <is>
          <t>lreyes@portilla.com.mx</t>
        </is>
      </c>
      <c r="F21" s="14" t="inlineStr">
        <is>
          <t>9/5  collateral not approved.  MO sent email with commercial appraisal and title issues that Amy sent to Portilla  
09/04: We received the draft of the deed.
We received most of the representative's documentation.
We would need to update property's documents.
We are awaiting for the draft of the preventive notice.
We are awaiting for the translation of the apostille.
08/28: We are awiting the draft of the deed and CLG.
We are awaiting the POA and the documentation of the representative.
We received the commercial appraisal.</t>
        </is>
      </c>
      <c r="G21" s="51" t="inlineStr">
        <is>
          <t>All Received</t>
        </is>
      </c>
      <c r="H21" s="17" t="inlineStr">
        <is>
          <t>Received (MoXi)</t>
        </is>
      </c>
      <c r="I21" s="13" t="inlineStr">
        <is>
          <t/>
        </is>
      </c>
      <c r="J21" s="72" t="inlineStr">
        <is>
          <t>Requested (MoXi)</t>
        </is>
      </c>
      <c r="K21" s="13" t="inlineStr">
        <is>
          <t/>
        </is>
      </c>
      <c r="L21" s="19" t="inlineStr">
        <is>
          <t>Requested (MoXi)</t>
        </is>
      </c>
      <c r="M21" s="13" t="inlineStr">
        <is>
          <t/>
        </is>
      </c>
      <c r="N21" s="73" t="inlineStr">
        <is>
          <t>Requested</t>
        </is>
      </c>
      <c r="O21" s="13" t="inlineStr">
        <is>
          <t/>
        </is>
      </c>
      <c r="P21" s="67" t="inlineStr">
        <is>
          <t>Ready to review</t>
        </is>
      </c>
      <c r="Q21" s="22"/>
      <c r="R21" s="13" t="inlineStr">
        <is>
          <t/>
        </is>
      </c>
      <c r="S21" s="90" t="inlineStr">
        <is>
          <t>N/A</t>
        </is>
      </c>
      <c r="T21" s="24" t="inlineStr">
        <is>
          <t>N/A</t>
        </is>
      </c>
      <c r="U21" s="62" t="inlineStr">
        <is>
          <t>Working on it</t>
        </is>
      </c>
      <c r="V21" s="91" t="inlineStr">
        <is>
          <t>In process</t>
        </is>
      </c>
      <c r="W21" s="58" t="inlineStr">
        <is>
          <t>Done</t>
        </is>
      </c>
      <c r="X21" s="14" t="inlineStr">
        <is>
          <t>824009198 - Matthew Rimmer - General Retail - SMA</t>
        </is>
      </c>
      <c r="Y21" s="28" t="inlineStr">
        <is>
          <t>Mifel</t>
        </is>
      </c>
      <c r="Z21" s="29"/>
      <c r="AA21" s="30"/>
      <c r="AB21" s="14" t="inlineStr">
        <is>
          <t>Athene</t>
        </is>
      </c>
      <c r="AC21" s="14"/>
      <c r="AD21" s="70" t="inlineStr">
        <is>
          <t>In process</t>
        </is>
      </c>
      <c r="AE21" s="14" t="n">
        <v>9545390137</v>
      </c>
    </row>
    <row customHeight="1" ht="20" r="22">
      <c r="A22" s="3" t="inlineStr">
        <is>
          <t>824009081 - Lazzaro - General Retail</t>
        </is>
      </c>
      <c r="B22" s="14" t="inlineStr">
        <is>
          <t/>
        </is>
      </c>
      <c r="C22" s="14" t="n">
        <v>195800</v>
      </c>
      <c r="D22" s="13">
        <v>46007.0</v>
      </c>
      <c r="E22" s="14" t="inlineStr">
        <is>
          <t>Ricardo Miguel Hernandez Sosa</t>
        </is>
      </c>
      <c r="F22" s="14" t="inlineStr">
        <is>
          <t>RH 11/13: (i) Awaiting for the fideicomiso draft. (ii) SRE permit application already submitted. (iii) preventive notice received.</t>
        </is>
      </c>
      <c r="G22" s="42" t="inlineStr">
        <is>
          <t>Working on it</t>
        </is>
      </c>
      <c r="H22" s="71" t="inlineStr">
        <is>
          <t>Requested (MoXi)</t>
        </is>
      </c>
      <c r="I22" s="13" t="inlineStr">
        <is>
          <t/>
        </is>
      </c>
      <c r="J22" s="33" t="inlineStr">
        <is>
          <t>Received (MoXi)</t>
        </is>
      </c>
      <c r="K22" s="13" t="inlineStr">
        <is>
          <t/>
        </is>
      </c>
      <c r="L22" s="78" t="inlineStr">
        <is>
          <t/>
        </is>
      </c>
      <c r="M22" s="13" t="inlineStr">
        <is>
          <t/>
        </is>
      </c>
      <c r="N22" s="79" t="inlineStr">
        <is>
          <t>Received &amp; Uploaded to Encompass</t>
        </is>
      </c>
      <c r="O22" s="13" t="inlineStr">
        <is>
          <t/>
        </is>
      </c>
      <c r="P22" s="52" t="inlineStr">
        <is>
          <t>In process</t>
        </is>
      </c>
      <c r="Q22" s="22"/>
      <c r="R22" s="13" t="inlineStr">
        <is>
          <t/>
        </is>
      </c>
      <c r="S22" s="92" t="inlineStr">
        <is>
          <t>Payment Completed</t>
        </is>
      </c>
      <c r="T22" s="24" t="inlineStr">
        <is>
          <t>N/A</t>
        </is>
      </c>
      <c r="U22" s="62" t="inlineStr">
        <is>
          <t>Working on it</t>
        </is>
      </c>
      <c r="V22" s="57" t="inlineStr">
        <is>
          <t>Done</t>
        </is>
      </c>
      <c r="W22" s="58" t="inlineStr">
        <is>
          <t>Done</t>
        </is>
      </c>
      <c r="X22" s="14" t="inlineStr">
        <is>
          <t>824009081 - Lazzaro - General Retail</t>
        </is>
      </c>
      <c r="Y22" s="28" t="inlineStr">
        <is>
          <t>Mifel</t>
        </is>
      </c>
      <c r="Z22" s="29"/>
      <c r="AA22" s="30"/>
      <c r="AB22" s="14" t="inlineStr">
        <is>
          <t>Athene</t>
        </is>
      </c>
      <c r="AC22" s="14" t="inlineStr">
        <is>
          <t>Aviso Preventivo, No Adeudo Predial</t>
        </is>
      </c>
      <c r="AD22" s="31" t="inlineStr">
        <is>
          <t>N/A</t>
        </is>
      </c>
      <c r="AE22" s="14" t="n">
        <v>9607668112</v>
      </c>
    </row>
    <row customHeight="1" ht="20" r="23">
      <c r="A23" s="3" t="inlineStr">
        <is>
          <t>824009181 - Pearson - General Retail</t>
        </is>
      </c>
      <c r="B23" s="14" t="inlineStr">
        <is>
          <t/>
        </is>
      </c>
      <c r="C23" s="14" t="n">
        <v>1331150</v>
      </c>
      <c r="D23" s="13">
        <v>46004.0</v>
      </c>
      <c r="E23" s="14" t="inlineStr">
        <is>
          <t>MARIANA PINEDA PASQUEL</t>
        </is>
      </c>
      <c r="F23" s="14" t="inlineStr">
        <is>
          <t>13/11/2025 MP working to change from Autofin to Mifel on the trust permit.
31/10/2025 MP still no access to the property. The developer will let us know when the appraiser might have acces to the property. the permit is with autofin, we might have to chenge to Mifel. we will try to change the permit from Autofin to Mifel.
27/08/2025 The developer has informed us that the property is not ready yet for the appraiser visit, they will let us know. I am waiting to receive the POA from the borrower
25/08/2025 the SRE has arrived an uploaded to the Efolder.
14/08/2025 MP I have sent the POA to the borrower, the trust permit is ordered and paid, we have not receive authorization from the developer to visit the property, the have not send the property tax .
31/07/2025 MP I requested the permit to autofin, they are reviewing all documents since it is a new development from piedra luna corasol. Thr developer is not ready for the visit from the appraiser. I have requested several times de documents from the legal representative without any luck, the borrower is on vacation and will be home on August 14th.</t>
        </is>
      </c>
      <c r="G23" s="42" t="inlineStr">
        <is>
          <t>Working on it</t>
        </is>
      </c>
      <c r="H23" s="43" t="inlineStr">
        <is>
          <t>Stuck</t>
        </is>
      </c>
      <c r="I23" s="13" t="inlineStr">
        <is>
          <t/>
        </is>
      </c>
      <c r="J23" s="72" t="inlineStr">
        <is>
          <t>Requested (MoXi)</t>
        </is>
      </c>
      <c r="K23" s="13" t="inlineStr">
        <is>
          <t/>
        </is>
      </c>
      <c r="L23" s="78" t="inlineStr">
        <is>
          <t/>
        </is>
      </c>
      <c r="M23" s="13" t="inlineStr">
        <is>
          <t/>
        </is>
      </c>
      <c r="N23" s="20" t="inlineStr">
        <is>
          <t>2015 Updated (MoXi)</t>
        </is>
      </c>
      <c r="O23" s="13" t="inlineStr">
        <is>
          <t/>
        </is>
      </c>
      <c r="P23" s="93" t="inlineStr">
        <is>
          <t/>
        </is>
      </c>
      <c r="Q23" s="53" t="inlineStr">
        <is>
          <t>ECTC Reviewed</t>
        </is>
      </c>
      <c r="R23" s="13" t="inlineStr">
        <is>
          <t/>
        </is>
      </c>
      <c r="S23" s="68" t="inlineStr">
        <is>
          <t>Received</t>
        </is>
      </c>
      <c r="T23" s="94"/>
      <c r="U23" s="80"/>
      <c r="V23" s="95" t="inlineStr">
        <is>
          <t>Working on it</t>
        </is>
      </c>
      <c r="W23" s="27" t="inlineStr">
        <is>
          <t>Payment requested</t>
        </is>
      </c>
      <c r="X23" s="14" t="inlineStr">
        <is>
          <t>824009181 - Pearson - General Retail</t>
        </is>
      </c>
      <c r="Y23" s="28" t="inlineStr">
        <is>
          <t>Mifel</t>
        </is>
      </c>
      <c r="Z23" s="29"/>
      <c r="AA23" s="30"/>
      <c r="AB23" s="14" t="inlineStr">
        <is>
          <t>Athene</t>
        </is>
      </c>
      <c r="AC23" s="14" t="inlineStr">
        <is>
          <t/>
        </is>
      </c>
      <c r="AD23" s="31" t="inlineStr">
        <is>
          <t>N/A</t>
        </is>
      </c>
      <c r="AE23" s="14" t="n">
        <v>9639787003</v>
      </c>
    </row>
    <row customHeight="1" ht="20" r="24">
      <c r="A24" s="3" t="inlineStr">
        <is>
          <t>824009224 - Douglas - General Retail</t>
        </is>
      </c>
      <c r="B24" s="14" t="inlineStr">
        <is>
          <t/>
        </is>
      </c>
      <c r="C24" s="14" t="n">
        <v>1700000</v>
      </c>
      <c r="D24" s="13">
        <v>45945.0</v>
      </c>
      <c r="E24" s="14" t="inlineStr">
        <is>
          <t>Valeria Méndez Villanueva</t>
        </is>
      </c>
      <c r="F24" s="14" t="inlineStr">
        <is>
          <t>VM 28/8: On hold. VM 8/21. On hold. VM 8/14: I have already drafted the PoA and the acknowledgment of the LLC, as the borrowers are going to close with their LLC. I sent the documents to Sagrario and I’m waiting for her review. I have also requested the commercial appraisal.
VM 8/7: I already requested the title search, contacted the borrower, the sellers attorneys. The borrower sent the documents of an LLC to see if it's possible to vest in the name of the LLC, I'm reviewing the documents. 8/1: To initiate contact with the borrower.</t>
        </is>
      </c>
      <c r="G24" s="83"/>
      <c r="H24" s="96" t="inlineStr">
        <is>
          <t/>
        </is>
      </c>
      <c r="I24" s="13" t="inlineStr">
        <is>
          <t/>
        </is>
      </c>
      <c r="J24" s="72" t="inlineStr">
        <is>
          <t>Requested (MoXi)</t>
        </is>
      </c>
      <c r="K24" s="13" t="inlineStr">
        <is>
          <t/>
        </is>
      </c>
      <c r="L24" s="78" t="inlineStr">
        <is>
          <t/>
        </is>
      </c>
      <c r="M24" s="13" t="inlineStr">
        <is>
          <t/>
        </is>
      </c>
      <c r="N24" s="97"/>
      <c r="O24" s="13" t="inlineStr">
        <is>
          <t/>
        </is>
      </c>
      <c r="P24" s="93" t="inlineStr">
        <is>
          <t/>
        </is>
      </c>
      <c r="Q24" s="22"/>
      <c r="R24" s="13" t="inlineStr">
        <is>
          <t/>
        </is>
      </c>
      <c r="S24" s="74" t="inlineStr">
        <is>
          <t>Working on the permit request</t>
        </is>
      </c>
      <c r="T24" s="94"/>
      <c r="U24" s="80"/>
      <c r="V24" s="98"/>
      <c r="W24" s="27" t="inlineStr">
        <is>
          <t>Payment requested</t>
        </is>
      </c>
      <c r="X24" s="14" t="inlineStr">
        <is>
          <t>824009224 - Douglas Masterson - General Retail</t>
        </is>
      </c>
      <c r="Y24" s="99" t="inlineStr">
        <is>
          <t/>
        </is>
      </c>
      <c r="Z24" s="29"/>
      <c r="AA24" s="30"/>
      <c r="AB24" s="14" t="inlineStr">
        <is>
          <t>Athene</t>
        </is>
      </c>
      <c r="AC24" s="14" t="inlineStr">
        <is>
          <t/>
        </is>
      </c>
      <c r="AD24" s="31" t="inlineStr">
        <is>
          <t>N/A</t>
        </is>
      </c>
      <c r="AE24" s="14" t="n">
        <v>9649811448</v>
      </c>
    </row>
    <row customHeight="1" ht="20" r="25">
      <c r="A25" s="3" t="inlineStr">
        <is>
          <t>824009233 - Jon Chester - General Retail - PV</t>
        </is>
      </c>
      <c r="B25" s="14" t="inlineStr">
        <is>
          <t/>
        </is>
      </c>
      <c r="C25" s="14" t="n">
        <v>477750</v>
      </c>
      <c r="D25" s="13">
        <v>45946.0</v>
      </c>
      <c r="E25" s="14" t="inlineStr">
        <is>
          <t>MARIANA PINEDA PASQUEL</t>
        </is>
      </c>
      <c r="F25" s="14" t="inlineStr">
        <is>
          <t>31/10/2025 the transaction was signed we still nedd Bajio´s and Miflel´s signature.
24/10/2025 we are workin on the signatures from Bajio and Mifel.
09/10/2025 MP we have received  the no debt water certificate and the HOA.
03/10/2025 MP Mifel has requested some documentation from Bajio. we are waitinf for the seller to deliver the no debt water certificate.
26/09/2025 MP we are waiting for the project to be approved by mifel and bajio.
09/19/2025 The notary will send the project to Mifel and Bajio. 
09/05/2025 The notary has sent the proyect, the sellers want to close on the last days of september and the borrowers in the middle of October. I will check with the notary. We have received the SRE permit
08/25/2025 We have received the POA and uploaded to the efolder
08/14/2025 MP the borrower has transfer the down payment, we have the received the cadastral appraisal, we have order the trust, we are workin with Bajio, the seller´s fiduciary
08/07/2025 MP we have sent the POA for the clien to sign, notarized and get the apostille, we have made contact with Banbajío and Mifel, we are working on the trust with mifel, the appraiser will vist the property, for the cadastral appraisal.
31/07/2025 MP we have received most of the documents from serller, property and borrower. we are working on the POA and we are about to request the cadastral appraisal.</t>
        </is>
      </c>
      <c r="G25" s="42" t="inlineStr">
        <is>
          <t>Working on it</t>
        </is>
      </c>
      <c r="H25" s="32" t="inlineStr">
        <is>
          <t>Approved by Legal</t>
        </is>
      </c>
      <c r="I25" s="13">
        <v>45910.0</v>
      </c>
      <c r="J25" s="18" t="inlineStr">
        <is>
          <t>Approved by Legal</t>
        </is>
      </c>
      <c r="K25" s="13" t="inlineStr">
        <is>
          <t/>
        </is>
      </c>
      <c r="L25" s="100" t="inlineStr">
        <is>
          <t>Approved by Legal</t>
        </is>
      </c>
      <c r="M25" s="13" t="inlineStr">
        <is>
          <t/>
        </is>
      </c>
      <c r="N25" s="20" t="inlineStr">
        <is>
          <t>2015 Updated (MoXi)</t>
        </is>
      </c>
      <c r="O25" s="13" t="inlineStr">
        <is>
          <t/>
        </is>
      </c>
      <c r="P25" s="101" t="inlineStr">
        <is>
          <t>Approved by Fiduciary</t>
        </is>
      </c>
      <c r="Q25" s="53" t="inlineStr">
        <is>
          <t>ECTC Reviewed</t>
        </is>
      </c>
      <c r="R25" s="13" t="inlineStr">
        <is>
          <t/>
        </is>
      </c>
      <c r="S25" s="68" t="inlineStr">
        <is>
          <t>Received</t>
        </is>
      </c>
      <c r="T25" s="75" t="inlineStr">
        <is>
          <t>Working on Cancelation</t>
        </is>
      </c>
      <c r="U25" s="80"/>
      <c r="V25" s="57" t="inlineStr">
        <is>
          <t>Done</t>
        </is>
      </c>
      <c r="W25" s="58" t="inlineStr">
        <is>
          <t>Done</t>
        </is>
      </c>
      <c r="X25" s="14" t="inlineStr">
        <is>
          <t>824009233 - Jon Chester - General Retail - PV</t>
        </is>
      </c>
      <c r="Y25" s="28" t="inlineStr">
        <is>
          <t>Mifel</t>
        </is>
      </c>
      <c r="Z25" s="29"/>
      <c r="AA25" s="30"/>
      <c r="AB25" s="14" t="inlineStr">
        <is>
          <t>Athene</t>
        </is>
      </c>
      <c r="AC25" s="14" t="inlineStr">
        <is>
          <t>No Adeudo Predial, Agua, Aviso Preventivo, CLG, HOA</t>
        </is>
      </c>
      <c r="AD25" s="31" t="inlineStr">
        <is>
          <t>N/A</t>
        </is>
      </c>
      <c r="AE25" s="14" t="n">
        <v>9649848617</v>
      </c>
    </row>
    <row customHeight="1" ht="20" r="26">
      <c r="A26" s="3" t="inlineStr">
        <is>
          <t>824009232 - Kari Jeanette Francisco - General Retail - PC</t>
        </is>
      </c>
      <c r="B26" s="14" t="inlineStr">
        <is>
          <t/>
        </is>
      </c>
      <c r="C26" s="14" t="n">
        <v>1168200</v>
      </c>
      <c r="D26" s="13">
        <v>45950.0</v>
      </c>
      <c r="E26" s="14" t="inlineStr">
        <is>
          <t>Amanda Yee</t>
        </is>
      </c>
      <c r="F26" s="14" t="inlineStr">
        <is>
          <t>AY 10/17: Closing is officially scheduled for October 20, 2025.
AY 10/9: Awaiting receipt of the Certificate of Good Standing for water services.
AY 10/3: Awaiting CLG, preventive notice, tax appraisal, CAPA, and the seller’s review and approval of the draft deed.
AY 9/26: The S.R.E. permit has been requested. The draft deed has been submitted for Mifel’s review. We are currently awaiting the CLG, the preventive notice, the tax appraisal, and the certificate of good standing for HOA fees.
AY 9/19: The S.R.E. permit has been requested. The Power of Attorney has been sent to the borrowers. We are currently awaiting the draft deed and technical documents from the notary.
AY 9/12: We are currently working on the draft of the POA and the permit application. Both documents are under Sagrario’s review, as we need to confirm that the property’s legal description is accurate. Awaiting confirmation from the developer.
AY 8/28: Working on the draft of the POA. Title search and commercial appraisal have been requested to Servando.
AY 8/21: Awaiting confirmation from the seller regarding the legal description of the property to proceed with requesting services.
AY 8/15: We are in contact with the developer. They have provided the property documents, which we are currently reviewing to confirm whether we have everything needed to order services.
AY 8/8: Welcome email has been sent to the borrowers. Contact was initiated with the developer in order to request property documents.</t>
        </is>
      </c>
      <c r="G26" s="51" t="inlineStr">
        <is>
          <t>All Received</t>
        </is>
      </c>
      <c r="H26" s="71" t="inlineStr">
        <is>
          <t>Requested (MoXi)</t>
        </is>
      </c>
      <c r="I26" s="13" t="inlineStr">
        <is>
          <t/>
        </is>
      </c>
      <c r="J26" s="72" t="inlineStr">
        <is>
          <t>Requested (MoXi)</t>
        </is>
      </c>
      <c r="K26" s="13" t="inlineStr">
        <is>
          <t/>
        </is>
      </c>
      <c r="L26" s="78" t="inlineStr">
        <is>
          <t/>
        </is>
      </c>
      <c r="M26" s="13" t="inlineStr">
        <is>
          <t/>
        </is>
      </c>
      <c r="N26" s="20" t="inlineStr">
        <is>
          <t>2015 Updated (MoXi)</t>
        </is>
      </c>
      <c r="O26" s="13" t="inlineStr">
        <is>
          <t/>
        </is>
      </c>
      <c r="P26" s="101" t="inlineStr">
        <is>
          <t>Approved by Fiduciary</t>
        </is>
      </c>
      <c r="Q26" s="53" t="inlineStr">
        <is>
          <t>ECTC Reviewed</t>
        </is>
      </c>
      <c r="R26" s="13" t="inlineStr">
        <is>
          <t/>
        </is>
      </c>
      <c r="S26" s="68" t="inlineStr">
        <is>
          <t>Received</t>
        </is>
      </c>
      <c r="T26" s="24" t="inlineStr">
        <is>
          <t>N/A</t>
        </is>
      </c>
      <c r="U26" s="56" t="inlineStr">
        <is>
          <t>Done</t>
        </is>
      </c>
      <c r="V26" s="57" t="inlineStr">
        <is>
          <t>Done</t>
        </is>
      </c>
      <c r="W26" s="58" t="inlineStr">
        <is>
          <t>Done</t>
        </is>
      </c>
      <c r="X26" s="14" t="inlineStr">
        <is>
          <t>824009232 - Kari Jeanette Francisco - General Retail - PC</t>
        </is>
      </c>
      <c r="Y26" s="28" t="inlineStr">
        <is>
          <t>Mifel</t>
        </is>
      </c>
      <c r="Z26" s="29"/>
      <c r="AA26" s="30"/>
      <c r="AB26" s="14" t="inlineStr">
        <is>
          <t/>
        </is>
      </c>
      <c r="AC26" s="14" t="inlineStr">
        <is>
          <t>Cooperación por obra, HOA, Predial, cedula catastral</t>
        </is>
      </c>
      <c r="AD26" s="31" t="inlineStr">
        <is>
          <t>N/A</t>
        </is>
      </c>
      <c r="AE26" s="14" t="n">
        <v>9761519428</v>
      </c>
    </row>
    <row customHeight="1" ht="20" r="27">
      <c r="A27" s="3" t="inlineStr">
        <is>
          <t>824008948 - Julian Gershon - General Retail - LC</t>
        </is>
      </c>
      <c r="B27" s="14" t="inlineStr">
        <is>
          <t/>
        </is>
      </c>
      <c r="C27" s="14" t="n">
        <v>430000</v>
      </c>
      <c r="D27" s="13">
        <v>45986.0</v>
      </c>
      <c r="E27" s="14" t="inlineStr">
        <is>
          <t>Yasmin Yektajo Farzand Shad</t>
        </is>
      </c>
      <c r="F27" s="14" t="inlineStr">
        <is>
          <t>YY 11/14: SRE permit received. Deed draft sent for review of seller. POA notarized, pending apostille and translation will follow up with Jared Leiman. Drafting KYCs.</t>
        </is>
      </c>
      <c r="G27" s="42" t="inlineStr">
        <is>
          <t>Working on it</t>
        </is>
      </c>
      <c r="H27" s="32" t="inlineStr">
        <is>
          <t>Approved by Legal</t>
        </is>
      </c>
      <c r="I27" s="13">
        <v>45968.0</v>
      </c>
      <c r="J27" s="18" t="inlineStr">
        <is>
          <t>Approved by Legal</t>
        </is>
      </c>
      <c r="K27" s="13" t="inlineStr">
        <is>
          <t/>
        </is>
      </c>
      <c r="L27" s="60" t="inlineStr">
        <is>
          <t>Received (MoXi)</t>
        </is>
      </c>
      <c r="M27" s="13" t="inlineStr">
        <is>
          <t/>
        </is>
      </c>
      <c r="N27" s="20" t="inlineStr">
        <is>
          <t>2015 Updated (MoXi)</t>
        </is>
      </c>
      <c r="O27" s="13" t="inlineStr">
        <is>
          <t/>
        </is>
      </c>
      <c r="P27" s="61" t="inlineStr">
        <is>
          <t>Approved by MoXi Attorney</t>
        </is>
      </c>
      <c r="Q27" s="53" t="inlineStr">
        <is>
          <t>ECTC Reviewed</t>
        </is>
      </c>
      <c r="R27" s="13" t="inlineStr">
        <is>
          <t/>
        </is>
      </c>
      <c r="S27" s="68" t="inlineStr">
        <is>
          <t>Received</t>
        </is>
      </c>
      <c r="T27" s="24" t="inlineStr">
        <is>
          <t>N/A</t>
        </is>
      </c>
      <c r="U27" s="62" t="inlineStr">
        <is>
          <t>Working on it</t>
        </is>
      </c>
      <c r="V27" s="95" t="inlineStr">
        <is>
          <t>Working on it</t>
        </is>
      </c>
      <c r="W27" s="27" t="inlineStr">
        <is>
          <t>Payment requested</t>
        </is>
      </c>
      <c r="X27" s="14" t="inlineStr">
        <is>
          <t>824008948 - Julian Gershon - General Retail - LC</t>
        </is>
      </c>
      <c r="Y27" s="28" t="inlineStr">
        <is>
          <t>Mifel</t>
        </is>
      </c>
      <c r="Z27" s="29"/>
      <c r="AA27" s="30"/>
      <c r="AB27" s="14" t="inlineStr">
        <is>
          <t/>
        </is>
      </c>
      <c r="AC27" s="14" t="inlineStr">
        <is>
          <t/>
        </is>
      </c>
      <c r="AD27" s="31" t="inlineStr">
        <is>
          <t>N/A</t>
        </is>
      </c>
      <c r="AE27" s="14" t="n">
        <v>9761528918</v>
      </c>
    </row>
    <row customHeight="1" ht="20" r="28">
      <c r="A28" s="3" t="inlineStr">
        <is>
          <t>824009274 - Pacaso 12 - Non-Retail - LC</t>
        </is>
      </c>
      <c r="B28" s="14" t="inlineStr">
        <is>
          <t/>
        </is>
      </c>
      <c r="C28" s="14" t="n">
        <v>2500000</v>
      </c>
      <c r="D28" s="13">
        <v>46051.0</v>
      </c>
      <c r="E28" s="14" t="inlineStr">
        <is>
          <t>Ricardo Miguel Hernandez Sosa</t>
        </is>
      </c>
      <c r="F28" s="14" t="inlineStr">
        <is>
          <t>RH 11/13: On hold due to the seller will carry out a fiduciary substitution before the new guaranty trust. Until the fiduciary substitution has been signed at the notary public, the closing with Pacaso and MoXI can begin.
RH 10/31: (i) We have discussed with Monex whether they are willing to accept the fiduciary substitution and they have confirmed they are, but waiting for the writing confirmation. (iii) Following up on the matter of the fiduciary substitution, we would like to inform you that there are two possible approaches to proceed: Option 1- Carry out the fiduciary substitution and, once the trust is transferred to Monex, proceed with the termination of the existing trust and the creation of a new one with a new permit. This process may need to be completed in two phases: First, the fiduciary substitution deed would be signed and registered with the Public Registry. Then, the termination deed and the new trust deed would be signed. Option 2- Execute the fiduciary substitution and, within the same deed, include the assignment of beneficial rights from the seller to Pacaso. Subsequently, the trust would be restructured into a guarantee trust, with MoXi and Pacaso as the new beneficiaries.</t>
        </is>
      </c>
      <c r="G28" s="77" t="inlineStr">
        <is>
          <t>Requested</t>
        </is>
      </c>
      <c r="H28" s="32" t="inlineStr">
        <is>
          <t>Approved by Legal</t>
        </is>
      </c>
      <c r="I28" s="13">
        <v>45959.0</v>
      </c>
      <c r="J28" s="18" t="inlineStr">
        <is>
          <t>Approved by Legal</t>
        </is>
      </c>
      <c r="K28" s="13" t="inlineStr">
        <is>
          <t/>
        </is>
      </c>
      <c r="L28" s="100" t="inlineStr">
        <is>
          <t>Approved by Legal</t>
        </is>
      </c>
      <c r="M28" s="13" t="inlineStr">
        <is>
          <t/>
        </is>
      </c>
      <c r="N28" s="73" t="inlineStr">
        <is>
          <t>Requested</t>
        </is>
      </c>
      <c r="O28" s="13" t="inlineStr">
        <is>
          <t/>
        </is>
      </c>
      <c r="P28" s="36" t="inlineStr">
        <is>
          <t>Not ready to requested</t>
        </is>
      </c>
      <c r="Q28" s="22"/>
      <c r="R28" s="13" t="inlineStr">
        <is>
          <t/>
        </is>
      </c>
      <c r="S28" s="74" t="inlineStr">
        <is>
          <t>Working on the permit request</t>
        </is>
      </c>
      <c r="T28" s="69" t="inlineStr">
        <is>
          <t>Seller is in charge</t>
        </is>
      </c>
      <c r="U28" s="62" t="inlineStr">
        <is>
          <t>Working on it</t>
        </is>
      </c>
      <c r="V28" s="91" t="inlineStr">
        <is>
          <t>In process</t>
        </is>
      </c>
      <c r="W28" s="27" t="inlineStr">
        <is>
          <t>Payment requested</t>
        </is>
      </c>
      <c r="X28" s="14" t="inlineStr">
        <is>
          <t>824009274 - Pacaso 12 - Non-Retail - LC</t>
        </is>
      </c>
      <c r="Y28" s="89" t="inlineStr">
        <is>
          <t>Monex</t>
        </is>
      </c>
      <c r="Z28" s="29"/>
      <c r="AA28" s="30"/>
      <c r="AB28" s="14" t="inlineStr">
        <is>
          <t/>
        </is>
      </c>
      <c r="AC28" s="14" t="inlineStr">
        <is>
          <t/>
        </is>
      </c>
      <c r="AD28" s="70" t="inlineStr">
        <is>
          <t>In process</t>
        </is>
      </c>
      <c r="AE28" s="14" t="n">
        <v>9761535404</v>
      </c>
    </row>
    <row customHeight="1" ht="20" r="29">
      <c r="A29" s="3" t="inlineStr">
        <is>
          <t>824009247 - Daniel Lagarde - General Retail - LC</t>
        </is>
      </c>
      <c r="B29" s="14" t="inlineStr">
        <is>
          <t/>
        </is>
      </c>
      <c r="C29" s="14" t="n">
        <v>217700</v>
      </c>
      <c r="D29" s="13">
        <v>45926.0</v>
      </c>
      <c r="E29" s="14" t="inlineStr">
        <is>
          <t>Yasmin Yektajo Farzand Shad</t>
        </is>
      </c>
      <c r="F29" s="14" t="inlineStr">
        <is>
          <t>YY 09/26: Waiting on RNIE and CFDI</t>
        </is>
      </c>
      <c r="G29" s="51" t="inlineStr">
        <is>
          <t>All Received</t>
        </is>
      </c>
      <c r="H29" s="32" t="inlineStr">
        <is>
          <t>Approved by Legal</t>
        </is>
      </c>
      <c r="I29" s="13">
        <v>45925.0</v>
      </c>
      <c r="J29" s="18" t="inlineStr">
        <is>
          <t>Approved by Legal</t>
        </is>
      </c>
      <c r="K29" s="13" t="inlineStr">
        <is>
          <t/>
        </is>
      </c>
      <c r="L29" s="60" t="inlineStr">
        <is>
          <t>Received (MoXi)</t>
        </is>
      </c>
      <c r="M29" s="13" t="inlineStr">
        <is>
          <t/>
        </is>
      </c>
      <c r="N29" s="20" t="inlineStr">
        <is>
          <t>2015 Updated (MoXi)</t>
        </is>
      </c>
      <c r="O29" s="13" t="inlineStr">
        <is>
          <t/>
        </is>
      </c>
      <c r="P29" s="102" t="inlineStr">
        <is>
          <t>Final Project Completed</t>
        </is>
      </c>
      <c r="Q29" s="53" t="inlineStr">
        <is>
          <t>ECTC Reviewed</t>
        </is>
      </c>
      <c r="R29" s="13" t="inlineStr">
        <is>
          <t/>
        </is>
      </c>
      <c r="S29" s="68" t="inlineStr">
        <is>
          <t>Received</t>
        </is>
      </c>
      <c r="T29" s="24" t="inlineStr">
        <is>
          <t>N/A</t>
        </is>
      </c>
      <c r="U29" s="56" t="inlineStr">
        <is>
          <t>Done</t>
        </is>
      </c>
      <c r="V29" s="57" t="inlineStr">
        <is>
          <t>Done</t>
        </is>
      </c>
      <c r="W29" s="58" t="inlineStr">
        <is>
          <t>Done</t>
        </is>
      </c>
      <c r="X29" s="14" t="inlineStr">
        <is>
          <t>824009247 - Daniel Lagarde - General Retail - LC</t>
        </is>
      </c>
      <c r="Y29" s="28" t="inlineStr">
        <is>
          <t>Mifel</t>
        </is>
      </c>
      <c r="Z29" s="29"/>
      <c r="AA29" s="30"/>
      <c r="AB29" s="14" t="inlineStr">
        <is>
          <t/>
        </is>
      </c>
      <c r="AC29" s="14" t="inlineStr">
        <is>
          <t>Agua, HOA, No Adeudo Predial, Aviso Preventivo, CLG</t>
        </is>
      </c>
      <c r="AD29" s="31" t="inlineStr">
        <is>
          <t>N/A</t>
        </is>
      </c>
      <c r="AE29" s="14" t="n">
        <v>9762383572</v>
      </c>
    </row>
    <row customHeight="1" ht="20" r="30">
      <c r="A30" s="3" t="inlineStr">
        <is>
          <t>824008973 - Serio - General Retail - LC</t>
        </is>
      </c>
      <c r="B30" s="14" t="inlineStr">
        <is>
          <t/>
        </is>
      </c>
      <c r="C30" s="14" t="n">
        <v>204000</v>
      </c>
      <c r="D30" s="13">
        <v>45958.0</v>
      </c>
      <c r="E30" s="14" t="inlineStr">
        <is>
          <t>Amanda Yee</t>
        </is>
      </c>
      <c r="F30" s="14" t="inlineStr">
        <is>
          <t>AY 10/24: Closing is scheduled for Oct 28.
AY 10/17: Draft deed has ben shared for Mifel's review. We are just waiting for their approval.
AY 10/9: Draft deed has been received and sent for Sagrario's review along with the CLG.
AY 10/3: Awaiting to receive CLG, preventive notice and the draft deed from the Notary.
AY 9/29: The original POA documents have been received. We are currently awaiting the draft deed, the CLG, the preventive notice, the certificates of good standing for HOA fees and water, and the S.R.E. permit.
AY 9/19: The draft deed and preventive notice have been requested from the notary. The permit has been requested from Mifel. The cadastral appraisal has been received.
AY 9/12: Initial contact with the notary has been made. The drafts of the POA and permit application will be sent to Sagrario for review later today.
AY 8/28: Working on the draft of the POA.
AY 8/21: Followed up with the seller to obtain the property documents and proceed with service requests. Currently working on the draft of the Power of Attorney (PoA).
AY 8/15: Contact with the borrower has been initiated.
AY 8/8: A new file has been received and is currently under review.
RH 8/14: We already contacted the borrower and the seller and requested the documents.</t>
        </is>
      </c>
      <c r="G30" s="51" t="inlineStr">
        <is>
          <t>All Received</t>
        </is>
      </c>
      <c r="H30" s="32" t="inlineStr">
        <is>
          <t>Approved by Legal</t>
        </is>
      </c>
      <c r="I30" s="13">
        <v>45932.0</v>
      </c>
      <c r="J30" s="18" t="inlineStr">
        <is>
          <t>Approved by Legal</t>
        </is>
      </c>
      <c r="K30" s="13" t="inlineStr">
        <is>
          <t/>
        </is>
      </c>
      <c r="L30" s="100" t="inlineStr">
        <is>
          <t>Approved by Legal</t>
        </is>
      </c>
      <c r="M30" s="13" t="inlineStr">
        <is>
          <t/>
        </is>
      </c>
      <c r="N30" s="20" t="inlineStr">
        <is>
          <t>2015 Updated (MoXi)</t>
        </is>
      </c>
      <c r="O30" s="13" t="inlineStr">
        <is>
          <t/>
        </is>
      </c>
      <c r="P30" s="61" t="inlineStr">
        <is>
          <t>Approved by MoXi Attorney</t>
        </is>
      </c>
      <c r="Q30" s="53" t="inlineStr">
        <is>
          <t>ECTC Reviewed</t>
        </is>
      </c>
      <c r="R30" s="13" t="inlineStr">
        <is>
          <t/>
        </is>
      </c>
      <c r="S30" s="68" t="inlineStr">
        <is>
          <t>Received</t>
        </is>
      </c>
      <c r="T30" s="24" t="inlineStr">
        <is>
          <t>N/A</t>
        </is>
      </c>
      <c r="U30" s="103" t="inlineStr">
        <is>
          <t>Requested</t>
        </is>
      </c>
      <c r="V30" s="57" t="inlineStr">
        <is>
          <t>Done</t>
        </is>
      </c>
      <c r="W30" s="58" t="inlineStr">
        <is>
          <t>Done</t>
        </is>
      </c>
      <c r="X30" s="14" t="inlineStr">
        <is>
          <t>824008973 - Serio - General Retail - LC</t>
        </is>
      </c>
      <c r="Y30" s="28" t="inlineStr">
        <is>
          <t>Mifel</t>
        </is>
      </c>
      <c r="Z30" s="29"/>
      <c r="AA30" s="30"/>
      <c r="AB30" s="14" t="inlineStr">
        <is>
          <t/>
        </is>
      </c>
      <c r="AC30" s="14" t="inlineStr">
        <is>
          <t>No Adeudo Predial, CLG, Aviso Preventivo, HOA, Agua</t>
        </is>
      </c>
      <c r="AD30" s="31" t="inlineStr">
        <is>
          <t>N/A</t>
        </is>
      </c>
      <c r="AE30" s="14" t="n">
        <v>9762898955</v>
      </c>
    </row>
    <row customHeight="1" ht="20" r="31">
      <c r="A31" s="3" t="inlineStr">
        <is>
          <t>824009257 - Clement Meryl Ann - General Retail - LP</t>
        </is>
      </c>
      <c r="B31" s="14" t="inlineStr">
        <is>
          <t/>
        </is>
      </c>
      <c r="C31" s="14" t="n">
        <v>241350</v>
      </c>
      <c r="D31" s="13">
        <v>45961.0</v>
      </c>
      <c r="E31" s="14" t="inlineStr">
        <is>
          <t>Valeria Méndez Villanueva</t>
        </is>
      </c>
      <c r="F31" s="14" t="inlineStr">
        <is>
          <t>VM 10/9: the file was withdrawn.  We haven't received any news. The developer has sent a termination notice to the borrower. From the start, we informed the developer about the financing process and MoXi’s timeline, provided the closing checklist on August 20, and received the most recent documentation on September 17. Since the developer did not provide the required information within the expected timeframe, it appears they now prefer to close immediately in cash instead of waiting for the financing process. Please guide the borrower through the next steps.VM 9/18: The developer sent the pending information yesterday, I already contacted Mifel and provide the documentation. We will need to change the offer since the borrower and her husband appear as buyers. VM 9/11: The developer sent a letter to the client requesting that the deed be signed within 15 days, which is not possible because we do not have all the documentation and we have not been put in contact with the notary that the developer works with. The borrower must clarify this situation and negotiate with the developer so that the transaction can continue to move forward.VM 9/4: We are working with the developer and the agents to obtain the pending documentation of the seller. On monday we had a call with the developer to explain them MoXi's process and the timeline for the closing, since they wanted to close on two weeks.  VM 8/28: I'm in communication with the developer to understand the property status and the closing process, since the property is mortgaged. VM 8/21: Today I receive the public deed and some property documentation, I'm reviewing it. VM 8/14: I have already contacted the borrower and request the property documentation.</t>
        </is>
      </c>
      <c r="G31" s="83"/>
      <c r="H31" s="96" t="inlineStr">
        <is>
          <t/>
        </is>
      </c>
      <c r="I31" s="13" t="inlineStr">
        <is>
          <t/>
        </is>
      </c>
      <c r="J31" s="104" t="inlineStr">
        <is>
          <t/>
        </is>
      </c>
      <c r="K31" s="13" t="inlineStr">
        <is>
          <t/>
        </is>
      </c>
      <c r="L31" s="78" t="inlineStr">
        <is>
          <t/>
        </is>
      </c>
      <c r="M31" s="13" t="inlineStr">
        <is>
          <t/>
        </is>
      </c>
      <c r="N31" s="97"/>
      <c r="O31" s="13" t="inlineStr">
        <is>
          <t/>
        </is>
      </c>
      <c r="P31" s="93" t="inlineStr">
        <is>
          <t/>
        </is>
      </c>
      <c r="Q31" s="22"/>
      <c r="R31" s="13" t="inlineStr">
        <is>
          <t/>
        </is>
      </c>
      <c r="S31" s="74" t="inlineStr">
        <is>
          <t>Working on the permit request</t>
        </is>
      </c>
      <c r="T31" s="94"/>
      <c r="U31" s="80"/>
      <c r="V31" s="98"/>
      <c r="W31" s="27" t="inlineStr">
        <is>
          <t>Payment requested</t>
        </is>
      </c>
      <c r="X31" s="14" t="inlineStr">
        <is>
          <t>824009257 - Clement Meryl Ann - General Retail - LP</t>
        </is>
      </c>
      <c r="Y31" s="28" t="inlineStr">
        <is>
          <t>Mifel</t>
        </is>
      </c>
      <c r="Z31" s="29"/>
      <c r="AA31" s="30"/>
      <c r="AB31" s="14" t="inlineStr">
        <is>
          <t/>
        </is>
      </c>
      <c r="AC31" s="14" t="inlineStr">
        <is>
          <t/>
        </is>
      </c>
      <c r="AD31" s="31" t="inlineStr">
        <is>
          <t>N/A</t>
        </is>
      </c>
      <c r="AE31" s="14" t="n">
        <v>9762941291</v>
      </c>
    </row>
    <row customHeight="1" ht="20" r="32">
      <c r="A32" s="3" t="inlineStr">
        <is>
          <t>824009270 - Keith Broberg - General Retail - LC</t>
        </is>
      </c>
      <c r="B32" s="14" t="inlineStr">
        <is>
          <t/>
        </is>
      </c>
      <c r="C32" s="14" t="n">
        <v>363950</v>
      </c>
      <c r="D32" s="13">
        <v>45986.0</v>
      </c>
      <c r="E32" s="14" t="inlineStr">
        <is>
          <t>Amanda Yee</t>
        </is>
      </c>
      <c r="F32" s="14" t="inlineStr">
        <is>
          <t>AY 11/14: The draft deed has been sent for Mifel’s and Banorte’s review. The CLG needs to be amended, and the revised CLG is expected to be received no later than next week. Awaiting to receive the escrow agreement.
AY 11/7: Awaiting to receive the draft deed from the notary. 
AY 10/31: The notary is already working on the draft of the deed. The apostilles for the POA and the borrower’s LLC were rejected, and the documents are being re-submitted for the notarization process.
AY 10/24: The S.R.E. permit has been received and uploaded to Encompass. I have already requested the advance payment; however, the borrower and notary appear to be experiencing issues with the receipt of funds. Despite this, we have asked the notary to proceed with preparing the draft deed.
AY 10/17: An advance payment for the notary fees was requested from the borrower. He is currently working with his attorney on the notarization and apostille of his LLC documents and Power of Attorney.
AY 10/9: The escrow agreement and its amendment have been prepared and sent for execution by the parties. A draft of the S.R.E. permit has been prepared and sent to Sagrario for review. The cadastral appraisal has been requested.
AY 10/3: Draft of the POA has been sent for the borrower's review. Notary quote has been uploaded to encompass. The borrower has already modify their LLC structure in order to remove his wife. 
AY 9/26: A follow up email was sent to the borrower's attorney in order to review the status of the LLC documents. Borrower is still working on them.
AY 9/19: We are awaiting the borrower’s LLC documents in order to begin drafting the Power of Attorney.
AY 9/12: A call was held with the borrower, attended by Linda, Meli, and the borrower’s POA, to review and clarify the process. We now need to begin gathering all necessary LLC information.</t>
        </is>
      </c>
      <c r="G32" s="51" t="inlineStr">
        <is>
          <t>All Received</t>
        </is>
      </c>
      <c r="H32" s="17" t="inlineStr">
        <is>
          <t>Received (MoXi)</t>
        </is>
      </c>
      <c r="I32" s="13" t="inlineStr">
        <is>
          <t/>
        </is>
      </c>
      <c r="J32" s="33" t="inlineStr">
        <is>
          <t>Received (MoXi)</t>
        </is>
      </c>
      <c r="K32" s="13" t="inlineStr">
        <is>
          <t/>
        </is>
      </c>
      <c r="L32" s="78" t="inlineStr">
        <is>
          <t/>
        </is>
      </c>
      <c r="M32" s="13" t="inlineStr">
        <is>
          <t/>
        </is>
      </c>
      <c r="N32" s="20" t="inlineStr">
        <is>
          <t>2015 Updated (MoXi)</t>
        </is>
      </c>
      <c r="O32" s="13" t="inlineStr">
        <is>
          <t/>
        </is>
      </c>
      <c r="P32" s="36" t="inlineStr">
        <is>
          <t>Not ready to requested</t>
        </is>
      </c>
      <c r="Q32" s="105" t="inlineStr">
        <is>
          <t>Pending ISR Set to Final</t>
        </is>
      </c>
      <c r="R32" s="13" t="inlineStr">
        <is>
          <t/>
        </is>
      </c>
      <c r="S32" s="106" t="inlineStr">
        <is>
          <t>Gathering documents to request</t>
        </is>
      </c>
      <c r="T32" s="75" t="inlineStr">
        <is>
          <t>Working on Cancelation</t>
        </is>
      </c>
      <c r="U32" s="40" t="inlineStr">
        <is>
          <t>Not ready to request</t>
        </is>
      </c>
      <c r="V32" s="81" t="inlineStr">
        <is>
          <t>Not ready to request it</t>
        </is>
      </c>
      <c r="W32" s="58" t="inlineStr">
        <is>
          <t>Done</t>
        </is>
      </c>
      <c r="X32" s="14" t="inlineStr">
        <is>
          <t/>
        </is>
      </c>
      <c r="Y32" s="28" t="inlineStr">
        <is>
          <t>Mifel</t>
        </is>
      </c>
      <c r="Z32" s="29"/>
      <c r="AA32" s="30"/>
      <c r="AB32" s="14" t="inlineStr">
        <is>
          <t/>
        </is>
      </c>
      <c r="AC32" s="14" t="inlineStr">
        <is>
          <t>No Adeudo Predial</t>
        </is>
      </c>
      <c r="AD32" s="31" t="inlineStr">
        <is>
          <t>N/A</t>
        </is>
      </c>
      <c r="AE32" s="14" t="n">
        <v>9828756551</v>
      </c>
    </row>
    <row customHeight="1" ht="20" r="33">
      <c r="A33" s="3" t="inlineStr">
        <is>
          <t>824009226 - Robert Russell - General Retail - LC</t>
        </is>
      </c>
      <c r="B33" s="14" t="inlineStr">
        <is>
          <t/>
        </is>
      </c>
      <c r="C33" s="14" t="n">
        <v>519200</v>
      </c>
      <c r="D33" s="13">
        <v>45979.0</v>
      </c>
      <c r="E33" s="14" t="inlineStr">
        <is>
          <t>Yasmin Yektajo Farzand Shad</t>
        </is>
      </c>
      <c r="F33" s="14" t="inlineStr">
        <is>
          <t>YY 11/14:  Closing date on november 18. Deed draft ready. Waiting on final disbursement instrucions and seller statement.</t>
        </is>
      </c>
      <c r="G33" s="51" t="inlineStr">
        <is>
          <t>All Received</t>
        </is>
      </c>
      <c r="H33" s="32" t="inlineStr">
        <is>
          <t>Approved by Legal</t>
        </is>
      </c>
      <c r="I33" s="13">
        <v>45959.0</v>
      </c>
      <c r="J33" s="18" t="inlineStr">
        <is>
          <t>Approved by Legal</t>
        </is>
      </c>
      <c r="K33" s="13" t="inlineStr">
        <is>
          <t/>
        </is>
      </c>
      <c r="L33" s="100" t="inlineStr">
        <is>
          <t>Approved by Legal</t>
        </is>
      </c>
      <c r="M33" s="13" t="inlineStr">
        <is>
          <t/>
        </is>
      </c>
      <c r="N33" s="20" t="inlineStr">
        <is>
          <t>2015 Updated (MoXi)</t>
        </is>
      </c>
      <c r="O33" s="13" t="inlineStr">
        <is>
          <t/>
        </is>
      </c>
      <c r="P33" s="102" t="inlineStr">
        <is>
          <t>Final Project Completed</t>
        </is>
      </c>
      <c r="Q33" s="53" t="inlineStr">
        <is>
          <t>ECTC Reviewed</t>
        </is>
      </c>
      <c r="R33" s="13" t="inlineStr">
        <is>
          <t/>
        </is>
      </c>
      <c r="S33" s="68" t="inlineStr">
        <is>
          <t>Received</t>
        </is>
      </c>
      <c r="T33" s="69" t="inlineStr">
        <is>
          <t>Seller is in charge</t>
        </is>
      </c>
      <c r="U33" s="56" t="inlineStr">
        <is>
          <t>Done</t>
        </is>
      </c>
      <c r="V33" s="57" t="inlineStr">
        <is>
          <t>Done</t>
        </is>
      </c>
      <c r="W33" s="58" t="inlineStr">
        <is>
          <t>Done</t>
        </is>
      </c>
      <c r="X33" s="14" t="inlineStr">
        <is>
          <t>824009226 - Robert Russell - General Retail - LC</t>
        </is>
      </c>
      <c r="Y33" s="28" t="inlineStr">
        <is>
          <t>Mifel</t>
        </is>
      </c>
      <c r="Z33" s="29"/>
      <c r="AA33" s="30"/>
      <c r="AB33" s="14" t="inlineStr">
        <is>
          <t/>
        </is>
      </c>
      <c r="AC33" s="14" t="inlineStr">
        <is>
          <t>CLG, Aviso Preventivo</t>
        </is>
      </c>
      <c r="AD33" s="31" t="inlineStr">
        <is>
          <t>N/A</t>
        </is>
      </c>
      <c r="AE33" s="14" t="n">
        <v>9828837082</v>
      </c>
    </row>
    <row customHeight="1" ht="20" r="34">
      <c r="A34" s="3" t="inlineStr">
        <is>
          <t>824008782 - Matthew Crudello - The Village</t>
        </is>
      </c>
      <c r="B34" s="14" t="inlineStr">
        <is>
          <t/>
        </is>
      </c>
      <c r="C34" s="14" t="n">
        <v>168050</v>
      </c>
      <c r="D34" s="13">
        <v>45992.0</v>
      </c>
      <c r="E34" s="14" t="inlineStr">
        <is>
          <t>Beatriz Meléndez</t>
        </is>
      </c>
      <c r="F34" s="14" t="inlineStr">
        <is>
          <t>11/13 BM - I'm still waiting for the Autofin (Kaptal Bank) issue to be resolved so they can release the project and schedule the closing.
11/06 BM - I'm still waiting for the Autofin (Kaptal Bank) issue to be resolved so they can release the project and schedule the closing.
10/30 BM - I'm still waiting for the Autofin (Kaptal Bank) issue to be resolved so they can release the project and schedule the closing.
10/23 BM - I'm still waiting for the Autofin (Kaptal Bank) issue to be resolved so they can release the project and schedule the closing.
10/16 BM - Waiting to receive the draft deed authorized by Kapital Bank
10/09 BM -Waiting to receive the draft deed authorized by Autofin. I've already sent a follow-up email to Lic. Luna.
10/02 BM-  I received the permit from the Ministry of Foreign Affairs (SRE). I'm waiting for approval from Autofin.
09/25 BM- The closing has been postponed. We are awaiting permission from the Ministry of Foreign Affairs. The client has already been notified. The escrow account has already been opened with GES.
09/18 BM - I received the no liens certificate and the first preventive notice. Autofín sent the project with the comments, and I shared it with the notary. I'm waiting to receive the SRE permit, the CAPA certificate, and some ORIGINA documents.
09/11BM -  I sent the pre-application for the SRE permit to Autofin along with the documents I have available so far. Sagrario sent the draft of the deed for review to Autofin. I sent the draft of the escrow agreement to the client and received an email with some comments, which I shared with MoXi and I am waiting for their feedback to inform the client.</t>
        </is>
      </c>
      <c r="G34" s="51" t="inlineStr">
        <is>
          <t>All Received</t>
        </is>
      </c>
      <c r="H34" s="32" t="inlineStr">
        <is>
          <t>Approved by Legal</t>
        </is>
      </c>
      <c r="I34" s="13">
        <v>45932.0</v>
      </c>
      <c r="J34" s="18" t="inlineStr">
        <is>
          <t>Approved by Legal</t>
        </is>
      </c>
      <c r="K34" s="13" t="inlineStr">
        <is>
          <t/>
        </is>
      </c>
      <c r="L34" s="78" t="inlineStr">
        <is>
          <t/>
        </is>
      </c>
      <c r="M34" s="13" t="inlineStr">
        <is>
          <t/>
        </is>
      </c>
      <c r="N34" s="20" t="inlineStr">
        <is>
          <t>2015 Updated (MoXi)</t>
        </is>
      </c>
      <c r="O34" s="13" t="inlineStr">
        <is>
          <t/>
        </is>
      </c>
      <c r="P34" s="101" t="inlineStr">
        <is>
          <t>Approved by Fiduciary</t>
        </is>
      </c>
      <c r="Q34" s="53" t="inlineStr">
        <is>
          <t>ECTC Reviewed</t>
        </is>
      </c>
      <c r="R34" s="13" t="inlineStr">
        <is>
          <t/>
        </is>
      </c>
      <c r="S34" s="68" t="inlineStr">
        <is>
          <t>Received</t>
        </is>
      </c>
      <c r="T34" s="39" t="inlineStr">
        <is>
          <t>Not ready to request</t>
        </is>
      </c>
      <c r="U34" s="40" t="inlineStr">
        <is>
          <t>Not ready to request</t>
        </is>
      </c>
      <c r="V34" s="57" t="inlineStr">
        <is>
          <t>Done</t>
        </is>
      </c>
      <c r="W34" s="76" t="inlineStr">
        <is>
          <t>Requested</t>
        </is>
      </c>
      <c r="X34" s="14" t="inlineStr">
        <is>
          <t>824008782 - Matthew Crudello The Village</t>
        </is>
      </c>
      <c r="Y34" s="59" t="inlineStr">
        <is>
          <t>Autofin</t>
        </is>
      </c>
      <c r="Z34" s="29"/>
      <c r="AA34" s="30"/>
      <c r="AB34" s="14" t="inlineStr">
        <is>
          <t/>
        </is>
      </c>
      <c r="AC34" s="14" t="inlineStr">
        <is>
          <t/>
        </is>
      </c>
      <c r="AD34" s="31" t="inlineStr">
        <is>
          <t>N/A</t>
        </is>
      </c>
      <c r="AE34" s="14" t="n">
        <v>9828978353</v>
      </c>
    </row>
    <row customHeight="1" ht="20" r="35">
      <c r="A35" s="3" t="inlineStr">
        <is>
          <t>824009184 - Garek Raymond Ng - Guadalajara</t>
        </is>
      </c>
      <c r="B35" s="14" t="inlineStr">
        <is>
          <t/>
        </is>
      </c>
      <c r="C35" s="14" t="n">
        <v>252900</v>
      </c>
      <c r="D35" s="13">
        <v>46022.0</v>
      </c>
      <c r="E35" s="14" t="inlineStr">
        <is>
          <t>Amanda Yee</t>
        </is>
      </c>
      <c r="F35" s="14" t="inlineStr">
        <is>
          <t>AY 11/14: The borrower has confirmed that he will pay the penalty to the seller in order to add his father to the purchase agreement. I will reach out to the seller to inform them of his decision and to check on the current status of the condo regime.
AY 11/7: I spoke with the developer, and they estimate that the condo regimen will be recorded by November 15.
AY 10/31: I spoke with the developer, and they estimate that the condo regimen will be recorded by November 15.
AY 10/24: The public deed of the condominium is pending registration at the Public Registry. Official documentation, including the condominium deed, is expected next week. Closing cannot proceed until this is completed. 
VM 10/9: The public deed of the condominium is pending registration at the Public Registry. Official documentation, including the condominium deed, is expected next week. Closing cannot proceed until this is completed. Richard must be added to the purchase agreement. The developer will prepare an amendment and request additional information. The executed amendment must be shared for our records.VM 9/18: The borrower replied to my email yesterday; I haven't received any response from the developer. VM 9/11: I have sent emails to the developer and the borrower, but I have not received a response from either of them. VM 9/4: I have already sent the welcome email to the borrowers, and I am about to initiate contact with the developer.</t>
        </is>
      </c>
      <c r="G35" s="83"/>
      <c r="H35" s="96" t="inlineStr">
        <is>
          <t/>
        </is>
      </c>
      <c r="I35" s="13" t="inlineStr">
        <is>
          <t/>
        </is>
      </c>
      <c r="J35" s="104" t="inlineStr">
        <is>
          <t/>
        </is>
      </c>
      <c r="K35" s="13" t="inlineStr">
        <is>
          <t/>
        </is>
      </c>
      <c r="L35" s="78" t="inlineStr">
        <is>
          <t/>
        </is>
      </c>
      <c r="M35" s="13" t="inlineStr">
        <is>
          <t/>
        </is>
      </c>
      <c r="N35" s="97"/>
      <c r="O35" s="13" t="inlineStr">
        <is>
          <t/>
        </is>
      </c>
      <c r="P35" s="93" t="inlineStr">
        <is>
          <t/>
        </is>
      </c>
      <c r="Q35" s="22"/>
      <c r="R35" s="13" t="inlineStr">
        <is>
          <t/>
        </is>
      </c>
      <c r="S35" s="74" t="inlineStr">
        <is>
          <t>Working on the permit request</t>
        </is>
      </c>
      <c r="T35" s="94"/>
      <c r="U35" s="80"/>
      <c r="V35" s="98"/>
      <c r="W35" s="27" t="inlineStr">
        <is>
          <t>Payment requested</t>
        </is>
      </c>
      <c r="X35" s="14" t="inlineStr">
        <is>
          <t>824009184 - Garek Raymond Ng - Guadalajara</t>
        </is>
      </c>
      <c r="Y35" s="28" t="inlineStr">
        <is>
          <t>Mifel</t>
        </is>
      </c>
      <c r="Z35" s="29"/>
      <c r="AA35" s="30"/>
      <c r="AB35" s="14" t="inlineStr">
        <is>
          <t/>
        </is>
      </c>
      <c r="AC35" s="14" t="inlineStr">
        <is>
          <t/>
        </is>
      </c>
      <c r="AD35" s="31" t="inlineStr">
        <is>
          <t>N/A</t>
        </is>
      </c>
      <c r="AE35" s="14" t="n">
        <v>9946033065</v>
      </c>
    </row>
    <row customHeight="1" ht="20" r="36">
      <c r="A36" s="3" t="inlineStr">
        <is>
          <t>824009333 - Victor Rico - General Retail - PC</t>
        </is>
      </c>
      <c r="B36" s="14" t="inlineStr">
        <is>
          <t/>
        </is>
      </c>
      <c r="C36" s="14" t="n">
        <v>224202</v>
      </c>
      <c r="D36" s="13">
        <v>46022.0</v>
      </c>
      <c r="E36" s="14" t="inlineStr">
        <is>
          <t>Beatriz Meléndez</t>
        </is>
      </c>
      <c r="F36" s="14" t="inlineStr">
        <is>
          <t>11/13 BM -  I received the escrow agreement and amendment, and I sent the documents to GES. I received payment for the SRE permit and sent the documents to Banca Mifel. I am still waiting for the notary to finish reviewing the documents from the originator and Mifel, and for them to confirm if they can take the file.
11/06 BM - I contacted the parties. I received the missing documents from the seller. I had a call with the coordinators of both parties and with the seller to clarify their doubts. The parties want to process the file with Notary 84. I have already contacted the lawyer from Notary 84 and shared the MoXi and Mifel documents with her. I sent them the draft escrow agreement with GES. I have already sent Servando the payment request for the SRE permit. The title search and commercial appraisal have already been requested. I am working on the KYC forms. The property has a mortgage with Scotiabank.
BM - 11/04 - New file</t>
        </is>
      </c>
      <c r="G36" s="51" t="inlineStr">
        <is>
          <t>All Received</t>
        </is>
      </c>
      <c r="H36" s="71" t="inlineStr">
        <is>
          <t>Requested (MoXi)</t>
        </is>
      </c>
      <c r="I36" s="13" t="inlineStr">
        <is>
          <t/>
        </is>
      </c>
      <c r="J36" s="72" t="inlineStr">
        <is>
          <t>Requested (MoXi)</t>
        </is>
      </c>
      <c r="K36" s="13" t="inlineStr">
        <is>
          <t/>
        </is>
      </c>
      <c r="L36" s="78" t="inlineStr">
        <is>
          <t/>
        </is>
      </c>
      <c r="M36" s="13" t="inlineStr">
        <is>
          <t/>
        </is>
      </c>
      <c r="N36" s="35" t="inlineStr">
        <is>
          <t>Not ready to request</t>
        </is>
      </c>
      <c r="O36" s="13" t="inlineStr">
        <is>
          <t/>
        </is>
      </c>
      <c r="P36" s="36" t="inlineStr">
        <is>
          <t>Not ready to requested</t>
        </is>
      </c>
      <c r="Q36" s="22"/>
      <c r="R36" s="13" t="inlineStr">
        <is>
          <t/>
        </is>
      </c>
      <c r="S36" s="107" t="inlineStr">
        <is>
          <t>Requested</t>
        </is>
      </c>
      <c r="T36" s="94"/>
      <c r="U36" s="80"/>
      <c r="V36" s="26" t="inlineStr">
        <is>
          <t>Waived</t>
        </is>
      </c>
      <c r="W36" s="27" t="inlineStr">
        <is>
          <t>Payment requested</t>
        </is>
      </c>
      <c r="X36" s="14" t="inlineStr">
        <is>
          <t>824009333 - Victor Rico - General Retail - PC</t>
        </is>
      </c>
      <c r="Y36" s="28" t="inlineStr">
        <is>
          <t>Mifel</t>
        </is>
      </c>
      <c r="Z36" s="29"/>
      <c r="AA36" s="30"/>
      <c r="AB36" s="14" t="inlineStr">
        <is>
          <t/>
        </is>
      </c>
      <c r="AC36" s="14" t="inlineStr">
        <is>
          <t/>
        </is>
      </c>
      <c r="AD36" s="31" t="inlineStr">
        <is>
          <t>N/A</t>
        </is>
      </c>
      <c r="AE36" s="14" t="n">
        <v>18193741444</v>
      </c>
    </row>
    <row customHeight="1" ht="20" r="37">
      <c r="A37" s="3" t="inlineStr">
        <is>
          <t>824009362 - Juan Carlos Ramirez - General Retail - PC</t>
        </is>
      </c>
      <c r="B37" s="14" t="inlineStr">
        <is>
          <t/>
        </is>
      </c>
      <c r="C37" s="14" t="n">
        <v>248000</v>
      </c>
      <c r="D37" s="13">
        <v>46031.0</v>
      </c>
      <c r="E37" s="14" t="inlineStr">
        <is>
          <t>Beatriz Meléndez</t>
        </is>
      </c>
      <c r="F37" s="14" t="inlineStr">
        <is>
          <t>11/13 BM - I've already received a response from the borrowers, and they asked for my help with the escrow agreement. I'm still waiting for the developer to send me the property and seller documents; I sent them another follow-up email.
11/06 BM - I am waiting to receive the property and seller documents to start the procedures.
10/30 BM - I contacted the developer and I am waiting for him to respond to my email and send me the property and seller documents.
10/23 BM - clients. Carlos informed me that they will be traveling until May 5th. I contacted their agent and requested the developer's contact information. I'm waiting for confirmation of who will coordinate and deliver the property and seller documents.
10/16 BM - New file. Reviewing documents to contact client.</t>
        </is>
      </c>
      <c r="G37" s="42" t="inlineStr">
        <is>
          <t>Working on it</t>
        </is>
      </c>
      <c r="H37" s="43" t="inlineStr">
        <is>
          <t>Stuck</t>
        </is>
      </c>
      <c r="I37" s="13" t="inlineStr">
        <is>
          <t/>
        </is>
      </c>
      <c r="J37" s="44" t="inlineStr">
        <is>
          <t>Stuck</t>
        </is>
      </c>
      <c r="K37" s="13" t="inlineStr">
        <is>
          <t/>
        </is>
      </c>
      <c r="L37" s="78" t="inlineStr">
        <is>
          <t/>
        </is>
      </c>
      <c r="M37" s="13" t="inlineStr">
        <is>
          <t/>
        </is>
      </c>
      <c r="N37" s="35" t="inlineStr">
        <is>
          <t>Not ready to request</t>
        </is>
      </c>
      <c r="O37" s="13" t="inlineStr">
        <is>
          <t/>
        </is>
      </c>
      <c r="P37" s="36" t="inlineStr">
        <is>
          <t>Not ready to requested</t>
        </is>
      </c>
      <c r="Q37" s="22"/>
      <c r="R37" s="13" t="inlineStr">
        <is>
          <t/>
        </is>
      </c>
      <c r="S37" s="106" t="inlineStr">
        <is>
          <t>Gathering documents to request</t>
        </is>
      </c>
      <c r="T37" s="94"/>
      <c r="U37" s="80"/>
      <c r="V37" s="98" t="inlineStr">
        <is>
          <t/>
        </is>
      </c>
      <c r="W37" s="27" t="inlineStr">
        <is>
          <t>Payment requested</t>
        </is>
      </c>
      <c r="X37" s="14" t="inlineStr">
        <is>
          <t>824009362 - Juan Carlos Ramirez - General Retail - PC</t>
        </is>
      </c>
      <c r="Y37" s="28" t="inlineStr">
        <is>
          <t>Mifel</t>
        </is>
      </c>
      <c r="Z37" s="29"/>
      <c r="AA37" s="30"/>
      <c r="AB37" s="14" t="inlineStr">
        <is>
          <t/>
        </is>
      </c>
      <c r="AC37" s="14" t="inlineStr">
        <is>
          <t/>
        </is>
      </c>
      <c r="AD37" s="31" t="inlineStr">
        <is>
          <t>N/A</t>
        </is>
      </c>
      <c r="AE37" s="14" t="n">
        <v>18193754162</v>
      </c>
    </row>
    <row customHeight="1" ht="20" r="38">
      <c r="A38" s="3" t="inlineStr">
        <is>
          <t>824009359 - Matthew Rimmer - General Retail SMA</t>
        </is>
      </c>
      <c r="B38" s="14" t="inlineStr">
        <is>
          <t/>
        </is>
      </c>
      <c r="C38" s="14" t="n">
        <v>250000</v>
      </c>
      <c r="D38" s="13">
        <v>46011.0</v>
      </c>
      <c r="E38" s="14" t="inlineStr">
        <is>
          <t>lreyes@portilla.com.mx</t>
        </is>
      </c>
      <c r="F38" s="14" t="inlineStr">
        <is>
          <t>11/13: We have already the commercial appraisal. We requested again the property documents. We requested the documentation from Mifel. The borrowers will need to grant another POA.
11/06: The visit to make the commercial appraisal has not been made yet.
10/30: The brokers and the borrowers don't want to progress with the closing until we have the commercial appraisal. Mifel confirmed we can use the same POA that the borrowers granted for the previous cancelled closing.
10/26: We sent the new welcome email. We have requested information from the seller regarding the property. We also requested the commercial appraisal and title search. We need to confirm which fiduciary institution can assist us with this trust. We also need to confirm whether the power of attorney they have granted can be used for this closing. I have drafted a new power of attorney and a new amendment to the escrow agreement.</t>
        </is>
      </c>
      <c r="G38" s="42" t="inlineStr">
        <is>
          <t>Working on it</t>
        </is>
      </c>
      <c r="H38" s="32" t="inlineStr">
        <is>
          <t>Approved by Legal</t>
        </is>
      </c>
      <c r="I38" s="13">
        <v>45974.0</v>
      </c>
      <c r="J38" s="18" t="inlineStr">
        <is>
          <t>Approved by Legal</t>
        </is>
      </c>
      <c r="K38" s="13" t="inlineStr">
        <is>
          <t/>
        </is>
      </c>
      <c r="L38" s="100" t="inlineStr">
        <is>
          <t>Approved by Legal</t>
        </is>
      </c>
      <c r="M38" s="13" t="inlineStr">
        <is>
          <t/>
        </is>
      </c>
      <c r="N38" s="35" t="inlineStr">
        <is>
          <t>Not ready to request</t>
        </is>
      </c>
      <c r="O38" s="13" t="inlineStr">
        <is>
          <t/>
        </is>
      </c>
      <c r="P38" s="21" t="inlineStr">
        <is>
          <t>Requested</t>
        </is>
      </c>
      <c r="Q38" s="22"/>
      <c r="R38" s="13" t="inlineStr">
        <is>
          <t/>
        </is>
      </c>
      <c r="S38" s="90" t="inlineStr">
        <is>
          <t>N/A</t>
        </is>
      </c>
      <c r="T38" s="24" t="inlineStr">
        <is>
          <t>N/A</t>
        </is>
      </c>
      <c r="U38" s="40" t="inlineStr">
        <is>
          <t>Not ready to request</t>
        </is>
      </c>
      <c r="V38" s="91" t="inlineStr">
        <is>
          <t>In process</t>
        </is>
      </c>
      <c r="W38" s="82" t="inlineStr">
        <is>
          <t>Working on it</t>
        </is>
      </c>
      <c r="X38" s="14" t="inlineStr">
        <is>
          <t>824009359 - Matthew Rimmer - General Retail SMA</t>
        </is>
      </c>
      <c r="Y38" s="28" t="inlineStr">
        <is>
          <t>Mifel</t>
        </is>
      </c>
      <c r="Z38" s="29"/>
      <c r="AA38" s="30"/>
      <c r="AB38" s="14" t="inlineStr">
        <is>
          <t/>
        </is>
      </c>
      <c r="AC38" s="14" t="inlineStr">
        <is>
          <t>Predial</t>
        </is>
      </c>
      <c r="AD38" s="64" t="inlineStr">
        <is>
          <t>Partial Seller Docs</t>
        </is>
      </c>
      <c r="AE38" s="14" t="n">
        <v>18236510887</v>
      </c>
    </row>
    <row customHeight="1" ht="20" r="39">
      <c r="A39" s="3" t="inlineStr">
        <is>
          <t>824009325 - Laurel Schulert - General Retail - MD</t>
        </is>
      </c>
      <c r="B39" s="14" t="inlineStr">
        <is>
          <t/>
        </is>
      </c>
      <c r="C39" s="14" t="n">
        <v>250000</v>
      </c>
      <c r="D39" s="13">
        <v>46038.0</v>
      </c>
      <c r="E39" s="14" t="inlineStr">
        <is>
          <t>Beatriz Meléndez</t>
        </is>
      </c>
      <c r="F39" s="14" t="inlineStr">
        <is>
          <t>11/13 BM - Today the borrowers confirmed they might not be present on closing day, so I'll begin drafting the PoA. I'm still waiting for the notary to finish reviewing the documents from Originadora and Banca Mifel and confirm if they can work on the file.
11/06 BM - The parties have already sent me the missing documents. I sent the payment request for the SRE permit to Servando, I am waiting to receive the receipt to send the documents and the application to Banca Mifel. The commercial appraisal and title search have already been requested. I have already contacted two notary offices in Mérida to see if they can handle the file, and I hope to receive a response in the next few days. The buyers will open the escrow account with TLA. I am working on the KYC forms.
10/30 BM - I sent an email to the clients and contacted the seller's coordinator. She sent me the property and seller documents. I am waiting for her to send me the property deed again, the one in Encompass is incomplete, missing pages.
10/23 BM - New file</t>
        </is>
      </c>
      <c r="G39" s="51" t="inlineStr">
        <is>
          <t>All Received</t>
        </is>
      </c>
      <c r="H39" s="71" t="inlineStr">
        <is>
          <t>Requested (MoXi)</t>
        </is>
      </c>
      <c r="I39" s="13" t="inlineStr">
        <is>
          <t/>
        </is>
      </c>
      <c r="J39" s="72" t="inlineStr">
        <is>
          <t>Requested (MoXi)</t>
        </is>
      </c>
      <c r="K39" s="13" t="inlineStr">
        <is>
          <t/>
        </is>
      </c>
      <c r="L39" s="78" t="inlineStr">
        <is>
          <t/>
        </is>
      </c>
      <c r="M39" s="13" t="inlineStr">
        <is>
          <t/>
        </is>
      </c>
      <c r="N39" s="35" t="inlineStr">
        <is>
          <t>Not ready to request</t>
        </is>
      </c>
      <c r="O39" s="13" t="inlineStr">
        <is>
          <t/>
        </is>
      </c>
      <c r="P39" s="36" t="inlineStr">
        <is>
          <t>Not ready to requested</t>
        </is>
      </c>
      <c r="Q39" s="22"/>
      <c r="R39" s="13" t="inlineStr">
        <is>
          <t/>
        </is>
      </c>
      <c r="S39" s="107" t="inlineStr">
        <is>
          <t>Requested</t>
        </is>
      </c>
      <c r="T39" s="94"/>
      <c r="U39" s="80"/>
      <c r="V39" s="95" t="inlineStr">
        <is>
          <t>Working on it</t>
        </is>
      </c>
      <c r="W39" s="27" t="inlineStr">
        <is>
          <t>Payment requested</t>
        </is>
      </c>
      <c r="X39" s="14" t="inlineStr">
        <is>
          <t>824009325 - Laurel Schulert - General Retail - MD</t>
        </is>
      </c>
      <c r="Y39" s="28" t="inlineStr">
        <is>
          <t>Mifel</t>
        </is>
      </c>
      <c r="Z39" s="29"/>
      <c r="AA39" s="30"/>
      <c r="AB39" s="14" t="inlineStr">
        <is>
          <t/>
        </is>
      </c>
      <c r="AC39" s="14" t="inlineStr">
        <is>
          <t/>
        </is>
      </c>
      <c r="AD39" s="31" t="inlineStr">
        <is>
          <t>N/A</t>
        </is>
      </c>
      <c r="AE39" s="14" t="n">
        <v>18245619343</v>
      </c>
    </row>
    <row customHeight="1" ht="20" r="40">
      <c r="A40" s="3" t="inlineStr">
        <is>
          <t>824009348 - Joshua Brasher - General Retail - LC</t>
        </is>
      </c>
      <c r="B40" s="14" t="inlineStr">
        <is>
          <t/>
        </is>
      </c>
      <c r="C40" s="14" t="n">
        <v>2500000</v>
      </c>
      <c r="D40" s="13">
        <v>46022.0</v>
      </c>
      <c r="E40" s="14" t="inlineStr">
        <is>
          <t>Amanda Yee</t>
        </is>
      </c>
      <c r="F40" s="14" t="inlineStr">
        <is>
          <t>AY 11/14: Instruction letters for the fiduciary were prepared. Working on the draft of the POA. Contact with Mifel has been initiated. Awaiting to receive the notary quote.
AY 11/7: The borrower is still working on his LLC. Title search, commercial appraisal and cadastral appraisal have been requested.
AY 10/31: Contact was initiated with the borrower and his attorneys. We received information from the seller’s attorney indicating that the borrower would like to proceed with a soft closing. We informed the parties that the soft closing would take place using the buyer’s funds, and once the transaction is closed, the loan proceeds can be disbursed to the buyer, similar to a refinance transaction. We are currently awaiting a response from the buyer’s attorneys.
AY 10/24: To initiate contact with the borrower.</t>
        </is>
      </c>
      <c r="G40" s="83"/>
      <c r="H40" s="71" t="inlineStr">
        <is>
          <t>Requested (MoXi)</t>
        </is>
      </c>
      <c r="I40" s="13" t="inlineStr">
        <is>
          <t/>
        </is>
      </c>
      <c r="J40" s="72" t="inlineStr">
        <is>
          <t>Requested (MoXi)</t>
        </is>
      </c>
      <c r="K40" s="13" t="inlineStr">
        <is>
          <t/>
        </is>
      </c>
      <c r="L40" s="78" t="inlineStr">
        <is>
          <t/>
        </is>
      </c>
      <c r="M40" s="13" t="inlineStr">
        <is>
          <t/>
        </is>
      </c>
      <c r="N40" s="97"/>
      <c r="O40" s="13" t="inlineStr">
        <is>
          <t/>
        </is>
      </c>
      <c r="P40" s="93" t="inlineStr">
        <is>
          <t/>
        </is>
      </c>
      <c r="Q40" s="22"/>
      <c r="R40" s="13" t="inlineStr">
        <is>
          <t/>
        </is>
      </c>
      <c r="S40" s="74" t="inlineStr">
        <is>
          <t>Working on the permit request</t>
        </is>
      </c>
      <c r="T40" s="94"/>
      <c r="U40" s="80"/>
      <c r="V40" s="98"/>
      <c r="W40" s="27" t="inlineStr">
        <is>
          <t>Payment requested</t>
        </is>
      </c>
      <c r="X40" s="14" t="inlineStr">
        <is>
          <t>824009348 - Joshua Brasher - General Retail - LC</t>
        </is>
      </c>
      <c r="Y40" s="28" t="inlineStr">
        <is>
          <t>Mifel</t>
        </is>
      </c>
      <c r="Z40" s="29"/>
      <c r="AA40" s="30"/>
      <c r="AB40" s="14" t="inlineStr">
        <is>
          <t/>
        </is>
      </c>
      <c r="AC40" s="14" t="inlineStr">
        <is>
          <t/>
        </is>
      </c>
      <c r="AD40" s="31" t="inlineStr">
        <is>
          <t>N/A</t>
        </is>
      </c>
      <c r="AE40" s="14" t="n">
        <v>18245641542</v>
      </c>
    </row>
    <row customHeight="1" ht="20" r="41">
      <c r="A41" s="3" t="inlineStr">
        <is>
          <t>824009327 - James Benedetto - General Retail - LC</t>
        </is>
      </c>
      <c r="B41" s="14" t="inlineStr">
        <is>
          <t/>
        </is>
      </c>
      <c r="C41" s="14" t="n">
        <v>2499900</v>
      </c>
      <c r="D41" s="13">
        <v>46007.0</v>
      </c>
      <c r="E41" s="14" t="inlineStr">
        <is>
          <t>Ricardo Miguel Hernandez Sosa</t>
        </is>
      </c>
      <c r="F41" s="14" t="inlineStr">
        <is>
          <t>RH 11/13: (i) Awaiting to receive the notary quote. (ii) Awaiting to receive the draft deed. Working on the draft of the S.R.E. permit and instruction letter to Intercam. (iii) Borrower is working on the notarization and apostilles on the POA.</t>
        </is>
      </c>
      <c r="G41" s="83"/>
      <c r="H41" s="71" t="inlineStr">
        <is>
          <t>Requested (MoXi)</t>
        </is>
      </c>
      <c r="I41" s="13" t="inlineStr">
        <is>
          <t/>
        </is>
      </c>
      <c r="J41" s="104" t="inlineStr">
        <is>
          <t/>
        </is>
      </c>
      <c r="K41" s="13" t="inlineStr">
        <is>
          <t/>
        </is>
      </c>
      <c r="L41" s="78" t="inlineStr">
        <is>
          <t/>
        </is>
      </c>
      <c r="M41" s="13" t="inlineStr">
        <is>
          <t/>
        </is>
      </c>
      <c r="N41" s="97"/>
      <c r="O41" s="13" t="inlineStr">
        <is>
          <t/>
        </is>
      </c>
      <c r="P41" s="93" t="inlineStr">
        <is>
          <t/>
        </is>
      </c>
      <c r="Q41" s="22"/>
      <c r="R41" s="13" t="inlineStr">
        <is>
          <t/>
        </is>
      </c>
      <c r="S41" s="74" t="inlineStr">
        <is>
          <t>Working on the permit request</t>
        </is>
      </c>
      <c r="T41" s="94"/>
      <c r="U41" s="80"/>
      <c r="V41" s="98"/>
      <c r="W41" s="27" t="inlineStr">
        <is>
          <t>Payment requested</t>
        </is>
      </c>
      <c r="X41" s="14" t="inlineStr">
        <is>
          <t>824009327 - James Benedetto - General Retail - LC</t>
        </is>
      </c>
      <c r="Y41" s="28" t="inlineStr">
        <is>
          <t>Mifel</t>
        </is>
      </c>
      <c r="Z41" s="29"/>
      <c r="AA41" s="30"/>
      <c r="AB41" s="14" t="inlineStr">
        <is>
          <t/>
        </is>
      </c>
      <c r="AC41" s="14" t="inlineStr">
        <is>
          <t/>
        </is>
      </c>
      <c r="AD41" s="31" t="inlineStr">
        <is>
          <t>N/A</t>
        </is>
      </c>
      <c r="AE41" s="14" t="n">
        <v>18247735479</v>
      </c>
    </row>
    <row customHeight="1" ht="20" r="42">
      <c r="A42" s="3" t="inlineStr">
        <is>
          <t>824009308 - Casandra Liggin - General Retail - LP</t>
        </is>
      </c>
      <c r="B42" s="14" t="inlineStr">
        <is>
          <t/>
        </is>
      </c>
      <c r="C42" s="14" t="n">
        <v>318400</v>
      </c>
      <c r="D42" s="13">
        <v>46081.0</v>
      </c>
      <c r="E42" s="14" t="inlineStr">
        <is>
          <t>Amanda Yee</t>
        </is>
      </c>
      <c r="F42" s="14" t="inlineStr">
        <is>
          <t>AY 11/14: Welcome email has been sent to the borrower. Seller's contact information was requested in order to confirm the current status of the property and the condo regime.</t>
        </is>
      </c>
      <c r="G42" s="83"/>
      <c r="H42" s="96" t="inlineStr">
        <is>
          <t/>
        </is>
      </c>
      <c r="I42" s="13" t="inlineStr">
        <is>
          <t/>
        </is>
      </c>
      <c r="J42" s="104" t="inlineStr">
        <is>
          <t/>
        </is>
      </c>
      <c r="K42" s="13" t="inlineStr">
        <is>
          <t/>
        </is>
      </c>
      <c r="L42" s="78" t="inlineStr">
        <is>
          <t/>
        </is>
      </c>
      <c r="M42" s="13" t="inlineStr">
        <is>
          <t/>
        </is>
      </c>
      <c r="N42" s="97"/>
      <c r="O42" s="13" t="inlineStr">
        <is>
          <t/>
        </is>
      </c>
      <c r="P42" s="93" t="inlineStr">
        <is>
          <t/>
        </is>
      </c>
      <c r="Q42" s="22"/>
      <c r="R42" s="13" t="inlineStr">
        <is>
          <t/>
        </is>
      </c>
      <c r="S42" s="74" t="inlineStr">
        <is>
          <t>Working on the permit request</t>
        </is>
      </c>
      <c r="T42" s="94"/>
      <c r="U42" s="80"/>
      <c r="V42" s="98"/>
      <c r="W42" s="27" t="inlineStr">
        <is>
          <t>Payment requested</t>
        </is>
      </c>
      <c r="X42" s="14" t="inlineStr">
        <is>
          <t>824009308 - Casandra Liggin - General Retail - LP</t>
        </is>
      </c>
      <c r="Y42" s="28" t="inlineStr">
        <is>
          <t>Mifel</t>
        </is>
      </c>
      <c r="Z42" s="29"/>
      <c r="AA42" s="30"/>
      <c r="AB42" s="14" t="inlineStr">
        <is>
          <t/>
        </is>
      </c>
      <c r="AC42" s="14" t="inlineStr">
        <is>
          <t/>
        </is>
      </c>
      <c r="AD42" s="31" t="inlineStr">
        <is>
          <t>N/A</t>
        </is>
      </c>
      <c r="AE42" s="14" t="n">
        <v>18369851721</v>
      </c>
    </row>
    <row customHeight="1" ht="20" r="43">
      <c r="A43" s="3" t="inlineStr">
        <is>
          <t>824009390 - John Ramer - General Retail - LC</t>
        </is>
      </c>
      <c r="B43" s="14" t="inlineStr">
        <is>
          <t/>
        </is>
      </c>
      <c r="C43" s="14" t="n">
        <v>1137300</v>
      </c>
      <c r="D43" s="13">
        <v>46037.0</v>
      </c>
      <c r="E43" s="14" t="inlineStr">
        <is>
          <t>Yasmin Yektajo Farzand Shad</t>
        </is>
      </c>
      <c r="F43" s="14" t="inlineStr">
        <is>
          <t>YY 11/14:  Starting review.</t>
        </is>
      </c>
      <c r="G43" s="83"/>
      <c r="H43" s="96" t="inlineStr">
        <is>
          <t/>
        </is>
      </c>
      <c r="I43" s="13" t="inlineStr">
        <is>
          <t/>
        </is>
      </c>
      <c r="J43" s="104" t="inlineStr">
        <is>
          <t/>
        </is>
      </c>
      <c r="K43" s="13" t="inlineStr">
        <is>
          <t/>
        </is>
      </c>
      <c r="L43" s="78" t="inlineStr">
        <is>
          <t/>
        </is>
      </c>
      <c r="M43" s="13" t="inlineStr">
        <is>
          <t/>
        </is>
      </c>
      <c r="N43" s="97"/>
      <c r="O43" s="13" t="inlineStr">
        <is>
          <t/>
        </is>
      </c>
      <c r="P43" s="93" t="inlineStr">
        <is>
          <t/>
        </is>
      </c>
      <c r="Q43" s="22"/>
      <c r="R43" s="13" t="inlineStr">
        <is>
          <t/>
        </is>
      </c>
      <c r="S43" s="74" t="inlineStr">
        <is>
          <t>Working on the permit request</t>
        </is>
      </c>
      <c r="T43" s="94"/>
      <c r="U43" s="80"/>
      <c r="V43" s="98"/>
      <c r="W43" s="27" t="inlineStr">
        <is>
          <t>Payment requested</t>
        </is>
      </c>
      <c r="X43" s="14" t="inlineStr">
        <is>
          <t>824009390 - John Ramer - General Retail - LC</t>
        </is>
      </c>
      <c r="Y43" s="28" t="inlineStr">
        <is>
          <t>Mifel</t>
        </is>
      </c>
      <c r="Z43" s="29"/>
      <c r="AA43" s="30"/>
      <c r="AB43" s="14" t="inlineStr">
        <is>
          <t/>
        </is>
      </c>
      <c r="AC43" s="14" t="inlineStr">
        <is>
          <t/>
        </is>
      </c>
      <c r="AD43" s="31" t="inlineStr">
        <is>
          <t>N/A</t>
        </is>
      </c>
      <c r="AE43" s="14" t="n">
        <v>18369860376</v>
      </c>
    </row>
    <row customHeight="1" ht="20" r="44">
      <c r="A44" s="0" t="inlineStr">
        <is>
          <t/>
        </is>
      </c>
      <c r="B44" s="0" t="inlineStr">
        <is>
          <t/>
        </is>
      </c>
      <c r="C44" s="108" t="str">
        <f>SUM(C6:C43)</f>
      </c>
      <c r="D44" s="108" t="inlineStr">
        <is>
          <t>2025-09-26 to 2026-03-31</t>
        </is>
      </c>
      <c r="E44" s="0" t="inlineStr">
        <is>
          <t/>
        </is>
      </c>
      <c r="F44" s="0" t="inlineStr">
        <is>
          <t/>
        </is>
      </c>
      <c r="G44" s="0" t="inlineStr">
        <is>
          <t/>
        </is>
      </c>
      <c r="H44" s="0" t="inlineStr">
        <is>
          <t/>
        </is>
      </c>
      <c r="I44" s="108" t="inlineStr">
        <is>
          <t>2025-07-16 to 2025-11-13</t>
        </is>
      </c>
      <c r="J44" s="0" t="inlineStr">
        <is>
          <t/>
        </is>
      </c>
      <c r="K44" s="0" t="inlineStr">
        <is>
          <t/>
        </is>
      </c>
      <c r="L44" s="0" t="inlineStr">
        <is>
          <t/>
        </is>
      </c>
      <c r="M44" s="0" t="inlineStr">
        <is>
          <t/>
        </is>
      </c>
      <c r="N44" s="0" t="inlineStr">
        <is>
          <t/>
        </is>
      </c>
      <c r="O44" s="0" t="inlineStr">
        <is>
          <t/>
        </is>
      </c>
      <c r="P44" s="0" t="inlineStr">
        <is>
          <t/>
        </is>
      </c>
      <c r="Q44" s="0" t="inlineStr">
        <is>
          <t/>
        </is>
      </c>
      <c r="R44" s="0" t="inlineStr">
        <is>
          <t/>
        </is>
      </c>
      <c r="S44" s="0" t="inlineStr">
        <is>
          <t/>
        </is>
      </c>
      <c r="T44" s="0" t="inlineStr">
        <is>
          <t/>
        </is>
      </c>
      <c r="U44" s="0" t="inlineStr">
        <is>
          <t/>
        </is>
      </c>
      <c r="V44" s="0" t="inlineStr">
        <is>
          <t/>
        </is>
      </c>
      <c r="W44" s="0" t="inlineStr">
        <is>
          <t/>
        </is>
      </c>
      <c r="X44" s="0" t="inlineStr">
        <is>
          <t/>
        </is>
      </c>
      <c r="Y44" s="0" t="inlineStr">
        <is>
          <t/>
        </is>
      </c>
      <c r="Z44" s="0" t="inlineStr">
        <is>
          <t/>
        </is>
      </c>
      <c r="AA44" s="0" t="inlineStr">
        <is>
          <t/>
        </is>
      </c>
      <c r="AB44" s="0" t="inlineStr">
        <is>
          <t/>
        </is>
      </c>
      <c r="AC44" s="0" t="inlineStr">
        <is>
          <t/>
        </is>
      </c>
      <c r="AD44" s="0" t="inlineStr">
        <is>
          <t/>
        </is>
      </c>
    </row>
    <row customHeight="1" ht="40" r="45"/>
    <row customHeight="1" ht="20" r="46">
      <c r="A46" s="109" t="inlineStr">
        <is>
          <t>Completed</t>
        </is>
      </c>
    </row>
    <row customHeight="1" ht="20" r="47">
      <c r="A47" s="7" t="inlineStr">
        <is>
          <t>Name</t>
        </is>
      </c>
      <c r="B47" s="6" t="inlineStr">
        <is>
          <t>Subelementos</t>
        </is>
      </c>
      <c r="C47" s="6" t="inlineStr">
        <is>
          <t>Loan Amount</t>
        </is>
      </c>
      <c r="D47" s="6" t="inlineStr">
        <is>
          <t>Est Closing Date</t>
        </is>
      </c>
      <c r="E47" s="6" t="inlineStr">
        <is>
          <t>Owner</t>
        </is>
      </c>
      <c r="F47" s="6" t="inlineStr">
        <is>
          <t>Comments</t>
        </is>
      </c>
      <c r="G47" s="6" t="inlineStr">
        <is>
          <t>Property Documents</t>
        </is>
      </c>
      <c r="H47" s="6" t="inlineStr">
        <is>
          <t>Commercial Appraisal</t>
        </is>
      </c>
      <c r="I47" s="6" t="inlineStr">
        <is>
          <t>Comm Appr Date</t>
        </is>
      </c>
      <c r="J47" s="6" t="inlineStr">
        <is>
          <t>Title Search</t>
        </is>
      </c>
      <c r="K47" s="6" t="inlineStr">
        <is>
          <t>Title Search Date</t>
        </is>
      </c>
      <c r="L47" s="6" t="inlineStr">
        <is>
          <t>Title Commitment</t>
        </is>
      </c>
      <c r="M47" s="6" t="inlineStr">
        <is>
          <t>Tit Com Date</t>
        </is>
      </c>
      <c r="N47" s="6" t="inlineStr">
        <is>
          <t>Notario Quote</t>
        </is>
      </c>
      <c r="O47" s="6" t="inlineStr">
        <is>
          <t>NQ Date</t>
        </is>
      </c>
      <c r="P47" s="6" t="inlineStr">
        <is>
          <t>Notario Project</t>
        </is>
      </c>
      <c r="Q47" s="6" t="inlineStr">
        <is>
          <t>Closing Disclosure</t>
        </is>
      </c>
      <c r="R47" s="6" t="inlineStr">
        <is>
          <t>CD Date</t>
        </is>
      </c>
      <c r="S47" s="6" t="inlineStr">
        <is>
          <t>FAP</t>
        </is>
      </c>
      <c r="T47" s="6" t="inlineStr">
        <is>
          <t>Seller´s Fideicomiso</t>
        </is>
      </c>
      <c r="U47" s="6" t="inlineStr">
        <is>
          <t>Fideicomiso de Garantia</t>
        </is>
      </c>
      <c r="V47" s="6" t="inlineStr">
        <is>
          <t>POA</t>
        </is>
      </c>
      <c r="W47" s="6" t="inlineStr">
        <is>
          <t>Cadastral Appraisal</t>
        </is>
      </c>
      <c r="X47" s="6" t="inlineStr">
        <is>
          <t>Legal Summary</t>
        </is>
      </c>
      <c r="Y47" s="6" t="inlineStr">
        <is>
          <t>Fideicomitente</t>
        </is>
      </c>
      <c r="Z47" s="6" t="inlineStr">
        <is>
          <t>Amortization Table</t>
        </is>
      </c>
      <c r="AA47" s="6" t="inlineStr">
        <is>
          <t>Comm Appr Sharefile</t>
        </is>
      </c>
      <c r="AB47" s="6" t="inlineStr">
        <is>
          <t>Notice of Acknowledgement</t>
        </is>
      </c>
      <c r="AC47" s="6" t="inlineStr">
        <is>
          <t>Certificados</t>
        </is>
      </c>
      <c r="AD47" s="6" t="inlineStr">
        <is>
          <t>Seller Approved by Fiduciary</t>
        </is>
      </c>
      <c r="AE47" s="6" t="inlineStr">
        <is>
          <t>Item ID (auto generated)</t>
        </is>
      </c>
    </row>
    <row customHeight="1" ht="20" r="48">
      <c r="A48" s="3" t="inlineStr">
        <is>
          <t>824008625 - Salceda - Non Retail</t>
        </is>
      </c>
      <c r="B48" s="14" t="inlineStr">
        <is>
          <t/>
        </is>
      </c>
      <c r="C48" s="14" t="n">
        <v>3000000</v>
      </c>
      <c r="D48" s="13">
        <v>45709.0</v>
      </c>
      <c r="E48" s="14" t="inlineStr">
        <is>
          <t>Amanda Yee</t>
        </is>
      </c>
      <c r="F48" s="14" t="inlineStr">
        <is>
          <t/>
        </is>
      </c>
      <c r="G48" s="51" t="inlineStr">
        <is>
          <t>All Received</t>
        </is>
      </c>
      <c r="H48" s="32" t="inlineStr">
        <is>
          <t>Approved by Legal</t>
        </is>
      </c>
      <c r="I48" s="13" t="inlineStr">
        <is>
          <t/>
        </is>
      </c>
      <c r="J48" s="18" t="inlineStr">
        <is>
          <t>Approved by Legal</t>
        </is>
      </c>
      <c r="K48" s="13" t="inlineStr">
        <is>
          <t/>
        </is>
      </c>
      <c r="L48" s="19" t="inlineStr">
        <is>
          <t>Requested (MoXi)</t>
        </is>
      </c>
      <c r="M48" s="13" t="inlineStr">
        <is>
          <t/>
        </is>
      </c>
      <c r="N48" s="110" t="inlineStr">
        <is>
          <t>Final Quote Updated in 2015</t>
        </is>
      </c>
      <c r="O48" s="13">
        <v>45708.0</v>
      </c>
      <c r="P48" s="102" t="inlineStr">
        <is>
          <t>Final Project Completed</t>
        </is>
      </c>
      <c r="Q48" s="111" t="inlineStr">
        <is>
          <t>Closing Disclosure Completed</t>
        </is>
      </c>
      <c r="R48" s="13">
        <v>45708.0</v>
      </c>
      <c r="S48" s="68" t="inlineStr">
        <is>
          <t>Received</t>
        </is>
      </c>
      <c r="T48" s="24" t="inlineStr">
        <is>
          <t>N/A</t>
        </is>
      </c>
      <c r="U48" s="56" t="inlineStr">
        <is>
          <t>Done</t>
        </is>
      </c>
      <c r="V48" s="57" t="inlineStr">
        <is>
          <t>Done</t>
        </is>
      </c>
      <c r="W48" s="58" t="inlineStr">
        <is>
          <t>Done</t>
        </is>
      </c>
      <c r="X48" s="14" t="inlineStr">
        <is>
          <t/>
        </is>
      </c>
      <c r="Y48" s="28" t="inlineStr">
        <is>
          <t>Mifel</t>
        </is>
      </c>
      <c r="Z48" s="29"/>
      <c r="AA48" s="30"/>
      <c r="AB48" s="14" t="inlineStr">
        <is>
          <t/>
        </is>
      </c>
      <c r="AC48" s="14" t="inlineStr">
        <is>
          <t/>
        </is>
      </c>
      <c r="AD48" s="31" t="inlineStr">
        <is>
          <t>N/A</t>
        </is>
      </c>
      <c r="AE48" s="14" t="n">
        <v>8533198108</v>
      </c>
    </row>
    <row customHeight="1" ht="20" r="49">
      <c r="A49" s="3" t="inlineStr">
        <is>
          <t>824008440 - Crumley - Samsara</t>
        </is>
      </c>
      <c r="B49" s="14" t="inlineStr">
        <is>
          <t/>
        </is>
      </c>
      <c r="C49" s="14" t="n">
        <v>129100</v>
      </c>
      <c r="D49" s="13">
        <v>45720.0</v>
      </c>
      <c r="E49" s="14" t="inlineStr">
        <is>
          <t>MARIANA PINEDA PASQUEL</t>
        </is>
      </c>
      <c r="F49" s="14" t="inlineStr">
        <is>
          <t>el CLG vence el cuatro de marzo.</t>
        </is>
      </c>
      <c r="G49" s="51" t="inlineStr">
        <is>
          <t>All Received</t>
        </is>
      </c>
      <c r="H49" s="32" t="inlineStr">
        <is>
          <t>Approved by Legal</t>
        </is>
      </c>
      <c r="I49" s="13" t="inlineStr">
        <is>
          <t/>
        </is>
      </c>
      <c r="J49" s="18" t="inlineStr">
        <is>
          <t>Approved by Legal</t>
        </is>
      </c>
      <c r="K49" s="13" t="inlineStr">
        <is>
          <t/>
        </is>
      </c>
      <c r="L49" s="45" t="inlineStr">
        <is>
          <t>N/A</t>
        </is>
      </c>
      <c r="M49" s="13" t="inlineStr">
        <is>
          <t/>
        </is>
      </c>
      <c r="N49" s="110" t="inlineStr">
        <is>
          <t>Final Quote Updated in 2015</t>
        </is>
      </c>
      <c r="O49" s="13" t="inlineStr">
        <is>
          <t/>
        </is>
      </c>
      <c r="P49" s="102" t="inlineStr">
        <is>
          <t>Final Project Completed</t>
        </is>
      </c>
      <c r="Q49" s="53" t="inlineStr">
        <is>
          <t>ECTC Reviewed</t>
        </is>
      </c>
      <c r="R49" s="13" t="inlineStr">
        <is>
          <t/>
        </is>
      </c>
      <c r="S49" s="68" t="inlineStr">
        <is>
          <t>Received</t>
        </is>
      </c>
      <c r="T49" s="55" t="inlineStr">
        <is>
          <t>Done</t>
        </is>
      </c>
      <c r="U49" s="56" t="inlineStr">
        <is>
          <t>Done</t>
        </is>
      </c>
      <c r="V49" s="57" t="inlineStr">
        <is>
          <t>Done</t>
        </is>
      </c>
      <c r="W49" s="27" t="inlineStr">
        <is>
          <t>Payment requested</t>
        </is>
      </c>
      <c r="X49" s="14" t="inlineStr">
        <is>
          <t/>
        </is>
      </c>
      <c r="Y49" s="99" t="inlineStr">
        <is>
          <t/>
        </is>
      </c>
      <c r="Z49" s="29"/>
      <c r="AA49" s="30"/>
      <c r="AB49" s="14" t="inlineStr">
        <is>
          <t>Playa</t>
        </is>
      </c>
      <c r="AC49" s="14" t="inlineStr">
        <is>
          <t/>
        </is>
      </c>
      <c r="AD49" s="31" t="inlineStr">
        <is>
          <t>N/A</t>
        </is>
      </c>
      <c r="AE49" s="14" t="n">
        <v>8538982367</v>
      </c>
    </row>
    <row customHeight="1" ht="20" r="50">
      <c r="A50" s="3" t="inlineStr">
        <is>
          <t>824008442 - Fogerson - Samsara</t>
        </is>
      </c>
      <c r="B50" s="14" t="inlineStr">
        <is>
          <t/>
        </is>
      </c>
      <c r="C50" s="14" t="n">
        <v>100800</v>
      </c>
      <c r="D50" s="13">
        <v>45720.0</v>
      </c>
      <c r="E50" s="14" t="inlineStr">
        <is>
          <t>Amanda Yee</t>
        </is>
      </c>
      <c r="F50" s="14" t="inlineStr">
        <is>
          <t>The new POA has been received by Title Solutions.</t>
        </is>
      </c>
      <c r="G50" s="51" t="inlineStr">
        <is>
          <t>All Received</t>
        </is>
      </c>
      <c r="H50" s="32" t="inlineStr">
        <is>
          <t>Approved by Legal</t>
        </is>
      </c>
      <c r="I50" s="13" t="inlineStr">
        <is>
          <t/>
        </is>
      </c>
      <c r="J50" s="18" t="inlineStr">
        <is>
          <t>Approved by Legal</t>
        </is>
      </c>
      <c r="K50" s="13" t="inlineStr">
        <is>
          <t/>
        </is>
      </c>
      <c r="L50" s="45" t="inlineStr">
        <is>
          <t>N/A</t>
        </is>
      </c>
      <c r="M50" s="13" t="inlineStr">
        <is>
          <t/>
        </is>
      </c>
      <c r="N50" s="110" t="inlineStr">
        <is>
          <t>Final Quote Updated in 2015</t>
        </is>
      </c>
      <c r="O50" s="13" t="inlineStr">
        <is>
          <t/>
        </is>
      </c>
      <c r="P50" s="102" t="inlineStr">
        <is>
          <t>Final Project Completed</t>
        </is>
      </c>
      <c r="Q50" s="53" t="inlineStr">
        <is>
          <t>ECTC Reviewed</t>
        </is>
      </c>
      <c r="R50" s="13" t="inlineStr">
        <is>
          <t/>
        </is>
      </c>
      <c r="S50" s="68" t="inlineStr">
        <is>
          <t>Received</t>
        </is>
      </c>
      <c r="T50" s="55" t="inlineStr">
        <is>
          <t>Done</t>
        </is>
      </c>
      <c r="U50" s="56" t="inlineStr">
        <is>
          <t>Done</t>
        </is>
      </c>
      <c r="V50" s="57" t="inlineStr">
        <is>
          <t>Done</t>
        </is>
      </c>
      <c r="W50" s="58" t="inlineStr">
        <is>
          <t>Done</t>
        </is>
      </c>
      <c r="X50" s="14" t="inlineStr">
        <is>
          <t/>
        </is>
      </c>
      <c r="Y50" s="59" t="inlineStr">
        <is>
          <t>Autofin</t>
        </is>
      </c>
      <c r="Z50" s="29"/>
      <c r="AA50" s="30"/>
      <c r="AB50" s="14" t="inlineStr">
        <is>
          <t/>
        </is>
      </c>
      <c r="AC50" s="14" t="inlineStr">
        <is>
          <t/>
        </is>
      </c>
      <c r="AD50" s="31" t="inlineStr">
        <is>
          <t>N/A</t>
        </is>
      </c>
      <c r="AE50" s="14" t="n">
        <v>8538978033</v>
      </c>
    </row>
    <row customHeight="1" ht="20" r="51">
      <c r="A51" s="3" t="inlineStr">
        <is>
          <t>824008908 - 9 Cabo Arch - Non Retail</t>
        </is>
      </c>
      <c r="B51" s="14" t="inlineStr">
        <is>
          <t/>
        </is>
      </c>
      <c r="C51" s="14" t="n">
        <v>2846500</v>
      </c>
      <c r="D51" s="13">
        <v>45742.0</v>
      </c>
      <c r="E51" s="14" t="inlineStr">
        <is>
          <t>Ricardo Miguel Hernandez Sosa</t>
        </is>
      </c>
      <c r="F51" s="14" t="inlineStr">
        <is>
          <t>RH.03.20: Monex approval is in process. ETA 3.21. Expected CD: 03.26.</t>
        </is>
      </c>
      <c r="G51" s="51" t="inlineStr">
        <is>
          <t>All Received</t>
        </is>
      </c>
      <c r="H51" s="32" t="inlineStr">
        <is>
          <t>Approved by Legal</t>
        </is>
      </c>
      <c r="I51" s="13">
        <v>45730.0</v>
      </c>
      <c r="J51" s="18" t="inlineStr">
        <is>
          <t>Approved by Legal</t>
        </is>
      </c>
      <c r="K51" s="13" t="inlineStr">
        <is>
          <t/>
        </is>
      </c>
      <c r="L51" s="100" t="inlineStr">
        <is>
          <t>Approved by Legal</t>
        </is>
      </c>
      <c r="M51" s="13" t="inlineStr">
        <is>
          <t/>
        </is>
      </c>
      <c r="N51" s="20" t="inlineStr">
        <is>
          <t>2015 Updated (MoXi)</t>
        </is>
      </c>
      <c r="O51" s="13" t="inlineStr">
        <is>
          <t/>
        </is>
      </c>
      <c r="P51" s="93" t="inlineStr">
        <is>
          <t/>
        </is>
      </c>
      <c r="Q51" s="22" t="inlineStr">
        <is>
          <t/>
        </is>
      </c>
      <c r="R51" s="13" t="inlineStr">
        <is>
          <t/>
        </is>
      </c>
      <c r="S51" s="68" t="inlineStr">
        <is>
          <t>Received</t>
        </is>
      </c>
      <c r="T51" s="75" t="inlineStr">
        <is>
          <t>Working on Cancelation</t>
        </is>
      </c>
      <c r="U51" s="56" t="inlineStr">
        <is>
          <t>Done</t>
        </is>
      </c>
      <c r="V51" s="57" t="inlineStr">
        <is>
          <t>Done</t>
        </is>
      </c>
      <c r="W51" s="58" t="inlineStr">
        <is>
          <t>Done</t>
        </is>
      </c>
      <c r="X51" s="14" t="inlineStr">
        <is>
          <t/>
        </is>
      </c>
      <c r="Y51" s="89" t="inlineStr">
        <is>
          <t>Monex</t>
        </is>
      </c>
      <c r="Z51" s="29"/>
      <c r="AA51" s="30"/>
      <c r="AB51" s="14" t="inlineStr">
        <is>
          <t/>
        </is>
      </c>
      <c r="AC51" s="14" t="inlineStr">
        <is>
          <t/>
        </is>
      </c>
      <c r="AD51" s="31" t="inlineStr">
        <is>
          <t>N/A</t>
        </is>
      </c>
      <c r="AE51" s="14" t="n">
        <v>8539020920</v>
      </c>
    </row>
    <row customHeight="1" ht="20" r="52">
      <c r="A52" s="3" t="inlineStr">
        <is>
          <t>824008838 - Shyam -</t>
        </is>
      </c>
      <c r="B52" s="14" t="inlineStr">
        <is>
          <t/>
        </is>
      </c>
      <c r="C52" s="14" t="n">
        <v>207800</v>
      </c>
      <c r="D52" s="13">
        <v>45777.0</v>
      </c>
      <c r="E52" s="14" t="inlineStr">
        <is>
          <t>Yasmin Yektajo Farzand Shad</t>
        </is>
      </c>
      <c r="F52" s="14" t="inlineStr">
        <is>
          <t>YY 06/13: Waiting on unrecorded deed. Mifel has not signed yet.</t>
        </is>
      </c>
      <c r="G52" s="51" t="inlineStr">
        <is>
          <t>All Received</t>
        </is>
      </c>
      <c r="H52" s="32" t="inlineStr">
        <is>
          <t>Approved by Legal</t>
        </is>
      </c>
      <c r="I52" s="13">
        <v>45736.0</v>
      </c>
      <c r="J52" s="18" t="inlineStr">
        <is>
          <t>Approved by Legal</t>
        </is>
      </c>
      <c r="K52" s="13" t="inlineStr">
        <is>
          <t/>
        </is>
      </c>
      <c r="L52" s="100" t="inlineStr">
        <is>
          <t>Approved by Legal</t>
        </is>
      </c>
      <c r="M52" s="13" t="inlineStr">
        <is>
          <t/>
        </is>
      </c>
      <c r="N52" s="110" t="inlineStr">
        <is>
          <t>Final Quote Updated in 2015</t>
        </is>
      </c>
      <c r="O52" s="13" t="inlineStr">
        <is>
          <t/>
        </is>
      </c>
      <c r="P52" s="102" t="inlineStr">
        <is>
          <t>Final Project Completed</t>
        </is>
      </c>
      <c r="Q52" s="53" t="inlineStr">
        <is>
          <t>ECTC Reviewed</t>
        </is>
      </c>
      <c r="R52" s="13" t="inlineStr">
        <is>
          <t/>
        </is>
      </c>
      <c r="S52" s="68" t="inlineStr">
        <is>
          <t>Received</t>
        </is>
      </c>
      <c r="T52" s="24" t="inlineStr">
        <is>
          <t>N/A</t>
        </is>
      </c>
      <c r="U52" s="56" t="inlineStr">
        <is>
          <t>Done</t>
        </is>
      </c>
      <c r="V52" s="57" t="inlineStr">
        <is>
          <t>Done</t>
        </is>
      </c>
      <c r="W52" s="58" t="inlineStr">
        <is>
          <t>Done</t>
        </is>
      </c>
      <c r="X52" s="14" t="inlineStr">
        <is>
          <t/>
        </is>
      </c>
      <c r="Y52" s="28" t="inlineStr">
        <is>
          <t>Mifel</t>
        </is>
      </c>
      <c r="Z52" s="29"/>
      <c r="AA52" s="30"/>
      <c r="AB52" s="14" t="inlineStr">
        <is>
          <t>Athene</t>
        </is>
      </c>
      <c r="AC52" s="14" t="inlineStr">
        <is>
          <t>CLG, HOA, Predial, Agua, Aviso Preventivo, No Adeudo Predial</t>
        </is>
      </c>
      <c r="AD52" s="31" t="inlineStr">
        <is>
          <t>N/A</t>
        </is>
      </c>
      <c r="AE52" s="14" t="n">
        <v>8539026176</v>
      </c>
    </row>
    <row customHeight="1" ht="20" r="53">
      <c r="A53" s="3" t="inlineStr">
        <is>
          <t>824008761 - Pierre - General Retail</t>
        </is>
      </c>
      <c r="B53" s="14" t="inlineStr">
        <is>
          <t/>
        </is>
      </c>
      <c r="C53" s="14" t="n">
        <v>354400</v>
      </c>
      <c r="D53" s="13">
        <v>45786.0</v>
      </c>
      <c r="E53" s="14" t="inlineStr">
        <is>
          <t>ERNESTO A. TABOADA</t>
        </is>
      </c>
      <c r="F53" s="14" t="inlineStr">
        <is>
          <t>09/05. Execution of public deed to be done today. All ready
5/2: Seller is still working on tax strategy. Borrower's POA will be available after May 6.
4/35  Seller still working on tax strategy doc not ready until after 5.5 
Preventive notice was obtain with the new entity. Public deed is under Mifel review.</t>
        </is>
      </c>
      <c r="G53" s="51" t="inlineStr">
        <is>
          <t>All Received</t>
        </is>
      </c>
      <c r="H53" s="32" t="inlineStr">
        <is>
          <t>Approved by Legal</t>
        </is>
      </c>
      <c r="I53" s="13">
        <v>45714.0</v>
      </c>
      <c r="J53" s="18" t="inlineStr">
        <is>
          <t>Approved by Legal</t>
        </is>
      </c>
      <c r="K53" s="13" t="inlineStr">
        <is>
          <t/>
        </is>
      </c>
      <c r="L53" s="100" t="inlineStr">
        <is>
          <t>Approved by Legal</t>
        </is>
      </c>
      <c r="M53" s="13" t="inlineStr">
        <is>
          <t/>
        </is>
      </c>
      <c r="N53" s="20" t="inlineStr">
        <is>
          <t>2015 Updated (MoXi)</t>
        </is>
      </c>
      <c r="O53" s="13" t="inlineStr">
        <is>
          <t/>
        </is>
      </c>
      <c r="P53" s="93" t="inlineStr">
        <is>
          <t/>
        </is>
      </c>
      <c r="Q53" s="53" t="inlineStr">
        <is>
          <t>ECTC Reviewed</t>
        </is>
      </c>
      <c r="R53" s="13" t="inlineStr">
        <is>
          <t/>
        </is>
      </c>
      <c r="S53" s="68" t="inlineStr">
        <is>
          <t>Received</t>
        </is>
      </c>
      <c r="T53" s="55" t="inlineStr">
        <is>
          <t>Done</t>
        </is>
      </c>
      <c r="U53" s="56" t="inlineStr">
        <is>
          <t>Done</t>
        </is>
      </c>
      <c r="V53" s="57" t="inlineStr">
        <is>
          <t>Done</t>
        </is>
      </c>
      <c r="W53" s="58" t="inlineStr">
        <is>
          <t>Done</t>
        </is>
      </c>
      <c r="X53" s="14" t="inlineStr">
        <is>
          <t/>
        </is>
      </c>
      <c r="Y53" s="28" t="inlineStr">
        <is>
          <t>Mifel</t>
        </is>
      </c>
      <c r="Z53" s="29"/>
      <c r="AA53" s="30"/>
      <c r="AB53" s="14" t="inlineStr">
        <is>
          <t>Athene</t>
        </is>
      </c>
      <c r="AC53" s="14" t="inlineStr">
        <is>
          <t/>
        </is>
      </c>
      <c r="AD53" s="31" t="inlineStr">
        <is>
          <t>N/A</t>
        </is>
      </c>
      <c r="AE53" s="14" t="n">
        <v>8539068960</v>
      </c>
    </row>
    <row customHeight="1" ht="20" r="54">
      <c r="A54" s="3" t="inlineStr">
        <is>
          <t>824008850 - Silveroli - Generail Retail</t>
        </is>
      </c>
      <c r="B54" s="14" t="inlineStr">
        <is>
          <t/>
        </is>
      </c>
      <c r="C54" s="14" t="n">
        <v>350000</v>
      </c>
      <c r="D54" s="13">
        <v>45793.0</v>
      </c>
      <c r="E54" s="14" t="inlineStr">
        <is>
          <t>Amanda Yee</t>
        </is>
      </c>
      <c r="F54" s="14" t="inlineStr">
        <is>
          <t>AY 5/15: Closing date.
AY 5/2: Awaiting for the draft deed.
AY 04/24: Awaiting for the draft deed and the updated notary quote. Mrs. Silveroli will grant a POA to her husband.
AY 04/10: The borrower informed us that she has issues with her father´s health and she will need to grant the POA to her husband as she may need to travel to the US; awaiting for the draft deed.
AY 04/03: Notary is already working on the draft deeds. Technical documents are in progress.
AY 27.03: Draft deeds will be received in two more weeks. Advanced payment to the notary will be requested to the borrowers.
We were able to get a Notaria that will not work with the refi / ISABI but they are in Gdl and the process will be slower</t>
        </is>
      </c>
      <c r="G54" s="51" t="inlineStr">
        <is>
          <t>All Received</t>
        </is>
      </c>
      <c r="H54" s="32" t="inlineStr">
        <is>
          <t>Approved by Legal</t>
        </is>
      </c>
      <c r="I54" s="13">
        <v>45740.0</v>
      </c>
      <c r="J54" s="18" t="inlineStr">
        <is>
          <t>Approved by Legal</t>
        </is>
      </c>
      <c r="K54" s="13" t="inlineStr">
        <is>
          <t/>
        </is>
      </c>
      <c r="L54" s="100" t="inlineStr">
        <is>
          <t>Approved by Legal</t>
        </is>
      </c>
      <c r="M54" s="13" t="inlineStr">
        <is>
          <t/>
        </is>
      </c>
      <c r="N54" s="20" t="inlineStr">
        <is>
          <t>2015 Updated (MoXi)</t>
        </is>
      </c>
      <c r="O54" s="13" t="inlineStr">
        <is>
          <t/>
        </is>
      </c>
      <c r="P54" s="112" t="inlineStr">
        <is>
          <t>Approved by Notario</t>
        </is>
      </c>
      <c r="Q54" s="53" t="inlineStr">
        <is>
          <t>ECTC Reviewed</t>
        </is>
      </c>
      <c r="R54" s="13" t="inlineStr">
        <is>
          <t/>
        </is>
      </c>
      <c r="S54" s="90" t="inlineStr">
        <is>
          <t>N/A</t>
        </is>
      </c>
      <c r="T54" s="24" t="inlineStr">
        <is>
          <t>N/A</t>
        </is>
      </c>
      <c r="U54" s="56" t="inlineStr">
        <is>
          <t>Done</t>
        </is>
      </c>
      <c r="V54" s="26" t="inlineStr">
        <is>
          <t>Waived</t>
        </is>
      </c>
      <c r="W54" s="88" t="inlineStr">
        <is>
          <t>N/A</t>
        </is>
      </c>
      <c r="X54" s="14" t="inlineStr">
        <is>
          <t/>
        </is>
      </c>
      <c r="Y54" s="28" t="inlineStr">
        <is>
          <t>Mifel</t>
        </is>
      </c>
      <c r="Z54" s="29"/>
      <c r="AA54" s="30"/>
      <c r="AB54" s="14" t="inlineStr">
        <is>
          <t>Athene</t>
        </is>
      </c>
      <c r="AC54" s="14" t="inlineStr">
        <is>
          <t>Predial, HOA, CLG</t>
        </is>
      </c>
      <c r="AD54" s="31" t="inlineStr">
        <is>
          <t>N/A</t>
        </is>
      </c>
      <c r="AE54" s="14" t="n">
        <v>8539023729</v>
      </c>
    </row>
    <row customHeight="1" ht="20" r="55">
      <c r="A55" s="3" t="inlineStr">
        <is>
          <t>824008812 - Ament Purchase - General Retail</t>
        </is>
      </c>
      <c r="B55" s="14" t="inlineStr">
        <is>
          <t/>
        </is>
      </c>
      <c r="C55" s="14" t="n">
        <v>375600</v>
      </c>
      <c r="D55" s="13">
        <v>45797.0</v>
      </c>
      <c r="E55" s="14" t="inlineStr">
        <is>
          <t>Amanda Yee</t>
        </is>
      </c>
      <c r="F55" s="14" t="inlineStr">
        <is>
          <t>AY 5/15: Almost ready to close. Awaiting seller's capital gains tax.
AY 2/5: Awaiting for Monex approval, CLG and HOA letter. Sellers are reviewing their capital gains tax.
AY 04/24: Monex is still pending to sign off the draft deed. I also request Alma to assist us  in getting a new HOA letter. She will request the sellers to pay the next quarter so she can get the current HOA letter. CLG and preventive notice is still in process.
AY 04/10: We received from the notary the amended versions in order to reflect the change from Sinergia to Originadora.
AY 04/03: Monex is still validating the file. We will request to the notary to amend the draft deed in order to reflect the current changes from Sinergia to Originadora and to request a new preventive notice.
AY 27.03: Waiting for preventive notice, CLG and Instruction letter from the sellers. Draft of deed has been sent by the notary.</t>
        </is>
      </c>
      <c r="G55" s="51" t="inlineStr">
        <is>
          <t>All Received</t>
        </is>
      </c>
      <c r="H55" s="32" t="inlineStr">
        <is>
          <t>Approved by Legal</t>
        </is>
      </c>
      <c r="I55" s="13">
        <v>45714.0</v>
      </c>
      <c r="J55" s="18" t="inlineStr">
        <is>
          <t>Approved by Legal</t>
        </is>
      </c>
      <c r="K55" s="13" t="inlineStr">
        <is>
          <t/>
        </is>
      </c>
      <c r="L55" s="100" t="inlineStr">
        <is>
          <t>Approved by Legal</t>
        </is>
      </c>
      <c r="M55" s="13" t="inlineStr">
        <is>
          <t/>
        </is>
      </c>
      <c r="N55" s="20" t="inlineStr">
        <is>
          <t>2015 Updated (MoXi)</t>
        </is>
      </c>
      <c r="O55" s="13" t="inlineStr">
        <is>
          <t/>
        </is>
      </c>
      <c r="P55" s="61" t="inlineStr">
        <is>
          <t>Approved by MoXi Attorney</t>
        </is>
      </c>
      <c r="Q55" s="53" t="inlineStr">
        <is>
          <t>ECTC Reviewed</t>
        </is>
      </c>
      <c r="R55" s="13" t="inlineStr">
        <is>
          <t/>
        </is>
      </c>
      <c r="S55" s="90" t="inlineStr">
        <is>
          <t>N/A</t>
        </is>
      </c>
      <c r="T55" s="55" t="inlineStr">
        <is>
          <t>Done</t>
        </is>
      </c>
      <c r="U55" s="56" t="inlineStr">
        <is>
          <t>Done</t>
        </is>
      </c>
      <c r="V55" s="57" t="inlineStr">
        <is>
          <t>Done</t>
        </is>
      </c>
      <c r="W55" s="58" t="inlineStr">
        <is>
          <t>Done</t>
        </is>
      </c>
      <c r="X55" s="14" t="inlineStr">
        <is>
          <t/>
        </is>
      </c>
      <c r="Y55" s="89" t="inlineStr">
        <is>
          <t>Monex</t>
        </is>
      </c>
      <c r="Z55" s="29"/>
      <c r="AA55" s="30"/>
      <c r="AB55" s="14" t="inlineStr">
        <is>
          <t>Athene</t>
        </is>
      </c>
      <c r="AC55" s="14" t="inlineStr">
        <is>
          <t>Predial, CLG, No Adeudo Predial, HOA, Agua, Aviso Preventivo</t>
        </is>
      </c>
      <c r="AD55" s="70" t="inlineStr">
        <is>
          <t>In process</t>
        </is>
      </c>
      <c r="AE55" s="14" t="n">
        <v>8539066355</v>
      </c>
    </row>
    <row customHeight="1" ht="20" r="56">
      <c r="A56" s="3" t="inlineStr">
        <is>
          <t>0824008512 - Vanderbeck</t>
        </is>
      </c>
      <c r="B56" s="14" t="inlineStr">
        <is>
          <t/>
        </is>
      </c>
      <c r="C56" s="14" t="inlineStr">
        <is>
          <t/>
        </is>
      </c>
      <c r="D56" s="13" t="inlineStr">
        <is>
          <t/>
        </is>
      </c>
      <c r="E56" s="14" t="inlineStr">
        <is>
          <t>Beatriz Meléndez</t>
        </is>
      </c>
      <c r="F56" s="14" t="inlineStr">
        <is>
          <t/>
        </is>
      </c>
      <c r="G56" s="83"/>
      <c r="H56" s="96" t="inlineStr">
        <is>
          <t/>
        </is>
      </c>
      <c r="I56" s="13" t="inlineStr">
        <is>
          <t/>
        </is>
      </c>
      <c r="J56" s="104" t="inlineStr">
        <is>
          <t/>
        </is>
      </c>
      <c r="K56" s="13" t="inlineStr">
        <is>
          <t/>
        </is>
      </c>
      <c r="L56" s="78" t="inlineStr">
        <is>
          <t/>
        </is>
      </c>
      <c r="M56" s="13" t="inlineStr">
        <is>
          <t/>
        </is>
      </c>
      <c r="N56" s="97"/>
      <c r="O56" s="13" t="inlineStr">
        <is>
          <t/>
        </is>
      </c>
      <c r="P56" s="93" t="inlineStr">
        <is>
          <t/>
        </is>
      </c>
      <c r="Q56" s="22"/>
      <c r="R56" s="13" t="inlineStr">
        <is>
          <t/>
        </is>
      </c>
      <c r="S56" s="74" t="inlineStr">
        <is>
          <t>Working on the permit request</t>
        </is>
      </c>
      <c r="T56" s="94"/>
      <c r="U56" s="80"/>
      <c r="V56" s="98"/>
      <c r="W56" s="27" t="inlineStr">
        <is>
          <t>Payment requested</t>
        </is>
      </c>
      <c r="X56" s="14" t="inlineStr">
        <is>
          <t>0824008512 - Vanderbeg</t>
        </is>
      </c>
      <c r="Y56" s="99" t="inlineStr">
        <is>
          <t/>
        </is>
      </c>
      <c r="Z56" s="113" t="inlineStr">
        <is>
          <t>Uploaded to Sharefile</t>
        </is>
      </c>
      <c r="AA56" s="114" t="inlineStr">
        <is>
          <t>Uploaded to Sharefile</t>
        </is>
      </c>
      <c r="AB56" s="14" t="inlineStr">
        <is>
          <t/>
        </is>
      </c>
      <c r="AC56" s="14" t="inlineStr">
        <is>
          <t/>
        </is>
      </c>
      <c r="AD56" s="31" t="inlineStr">
        <is>
          <t>N/A</t>
        </is>
      </c>
      <c r="AE56" s="14" t="n">
        <v>8702513493</v>
      </c>
    </row>
    <row customHeight="1" ht="20" r="57">
      <c r="A57" s="3" t="inlineStr">
        <is>
          <t>824008824 Ament Refi - General Retail</t>
        </is>
      </c>
      <c r="B57" s="14" t="inlineStr">
        <is>
          <t/>
        </is>
      </c>
      <c r="C57" s="14" t="n">
        <v>357400</v>
      </c>
      <c r="D57" s="13">
        <v>45807.0</v>
      </c>
      <c r="E57" s="14" t="inlineStr">
        <is>
          <t>Amanda Yee</t>
        </is>
      </c>
      <c r="F57" s="14" t="inlineStr">
        <is>
          <t>AY 5/23: Intercam has approved the draft deed. 
AY 5/15: Awaiting approval from Intercam.
AY 5/9: Awaiting approval for Intercam. I spoke with Intercam and they informed us that the revisions are taking longer due to the existing loan.
AY 5/2: We are still awaiting for Intercam approval, CLG and the updated HOA letter.
AY 04/24: Monex signed off the draft deed, however we are still waiting for Intercam to sign off the draft deed. Awaiting for new Certificate of No Liens and Preventive Notice. 
AY 04/10: We received from the notary the amended versions in order to reflect the change from Sinergia to Originadora.
AY 04/03: We will request to the notary to modify the draft deed and preventive notice in order to reflect the current change from Sinergia to Originadora. Fiduciaries will need to do a second review.
AY 27.03: Amended draft deed was received. Pending to confirm with Sagrario if she will review the deed again or if we can proceed to send it for fiduciary review. 
MO: 3.18 Borrower not closing with the LLC changing permit. and closing date for at  4.28
Awaiting for the Notary to send the draft deed for Intercam Review. Monex is still validating the file.
CLG and preventive notice has been received. Appraisal will be ready on Thursday, February 28th.
Missing Cancellation from Intercam
The fiduciary will be Monex</t>
        </is>
      </c>
      <c r="G57" s="51" t="inlineStr">
        <is>
          <t>All Received</t>
        </is>
      </c>
      <c r="H57" s="32" t="inlineStr">
        <is>
          <t>Approved by Legal</t>
        </is>
      </c>
      <c r="I57" s="13">
        <v>45714.0</v>
      </c>
      <c r="J57" s="18" t="inlineStr">
        <is>
          <t>Approved by Legal</t>
        </is>
      </c>
      <c r="K57" s="13" t="inlineStr">
        <is>
          <t/>
        </is>
      </c>
      <c r="L57" s="100" t="inlineStr">
        <is>
          <t>Approved by Legal</t>
        </is>
      </c>
      <c r="M57" s="13">
        <v>45712.0</v>
      </c>
      <c r="N57" s="20" t="inlineStr">
        <is>
          <t>2015 Updated (MoXi)</t>
        </is>
      </c>
      <c r="O57" s="13" t="inlineStr">
        <is>
          <t/>
        </is>
      </c>
      <c r="P57" s="61" t="inlineStr">
        <is>
          <t>Approved by MoXi Attorney</t>
        </is>
      </c>
      <c r="Q57" s="53" t="inlineStr">
        <is>
          <t>ECTC Reviewed</t>
        </is>
      </c>
      <c r="R57" s="13" t="inlineStr">
        <is>
          <t/>
        </is>
      </c>
      <c r="S57" s="68" t="inlineStr">
        <is>
          <t>Received</t>
        </is>
      </c>
      <c r="T57" s="48" t="inlineStr">
        <is>
          <t>Stuck</t>
        </is>
      </c>
      <c r="U57" s="56" t="inlineStr">
        <is>
          <t>Done</t>
        </is>
      </c>
      <c r="V57" s="57" t="inlineStr">
        <is>
          <t>Done</t>
        </is>
      </c>
      <c r="W57" s="58" t="inlineStr">
        <is>
          <t>Done</t>
        </is>
      </c>
      <c r="X57" s="14" t="inlineStr">
        <is>
          <t/>
        </is>
      </c>
      <c r="Y57" s="89" t="inlineStr">
        <is>
          <t>Monex</t>
        </is>
      </c>
      <c r="Z57" s="29"/>
      <c r="AA57" s="30"/>
      <c r="AB57" s="14" t="inlineStr">
        <is>
          <t>Athene</t>
        </is>
      </c>
      <c r="AC57" s="14" t="inlineStr">
        <is>
          <t>Predial, CLG, HOA, No Adeudo Predial, Aviso Preventivo, Agua</t>
        </is>
      </c>
      <c r="AD57" s="31" t="inlineStr">
        <is>
          <t>N/A</t>
        </is>
      </c>
      <c r="AE57" s="14" t="n">
        <v>8539000226</v>
      </c>
    </row>
    <row customHeight="1" ht="20" r="58">
      <c r="A58" s="3" t="inlineStr">
        <is>
          <t>824008985 - Rowett - General Retail</t>
        </is>
      </c>
      <c r="B58" s="14" t="inlineStr">
        <is>
          <t/>
        </is>
      </c>
      <c r="C58" s="14" t="n">
        <v>2500000</v>
      </c>
      <c r="D58" s="13">
        <v>45807.0</v>
      </c>
      <c r="E58" s="14" t="inlineStr">
        <is>
          <t>Ricardo Miguel Hernandez Sosa</t>
        </is>
      </c>
      <c r="F58" s="14" t="inlineStr">
        <is>
          <t>RH 5/22: LLC documents ready. We have yet to receive the originals. Fideicomiso project under fiduciaries review. All technical documents in place.</t>
        </is>
      </c>
      <c r="G58" s="42" t="inlineStr">
        <is>
          <t>Working on it</t>
        </is>
      </c>
      <c r="H58" s="32" t="inlineStr">
        <is>
          <t>Approved by Legal</t>
        </is>
      </c>
      <c r="I58" s="13">
        <v>45793.0</v>
      </c>
      <c r="J58" s="18" t="inlineStr">
        <is>
          <t>Approved by Legal</t>
        </is>
      </c>
      <c r="K58" s="13" t="inlineStr">
        <is>
          <t/>
        </is>
      </c>
      <c r="L58" s="100" t="inlineStr">
        <is>
          <t>Approved by Legal</t>
        </is>
      </c>
      <c r="M58" s="13" t="inlineStr">
        <is>
          <t/>
        </is>
      </c>
      <c r="N58" s="20" t="inlineStr">
        <is>
          <t>2015 Updated (MoXi)</t>
        </is>
      </c>
      <c r="O58" s="13" t="inlineStr">
        <is>
          <t/>
        </is>
      </c>
      <c r="P58" s="21" t="inlineStr">
        <is>
          <t>Requested</t>
        </is>
      </c>
      <c r="Q58" s="53" t="inlineStr">
        <is>
          <t>ECTC Reviewed</t>
        </is>
      </c>
      <c r="R58" s="13" t="inlineStr">
        <is>
          <t/>
        </is>
      </c>
      <c r="S58" s="107" t="inlineStr">
        <is>
          <t>Requested</t>
        </is>
      </c>
      <c r="T58" s="39" t="inlineStr">
        <is>
          <t>Not ready to request</t>
        </is>
      </c>
      <c r="U58" s="62" t="inlineStr">
        <is>
          <t>Working on it</t>
        </is>
      </c>
      <c r="V58" s="95" t="inlineStr">
        <is>
          <t>Working on it</t>
        </is>
      </c>
      <c r="W58" s="58" t="inlineStr">
        <is>
          <t>Done</t>
        </is>
      </c>
      <c r="X58" s="14" t="inlineStr">
        <is>
          <t>824008985 - Rowett - General Retail</t>
        </is>
      </c>
      <c r="Y58" s="28" t="inlineStr">
        <is>
          <t>Mifel</t>
        </is>
      </c>
      <c r="Z58" s="29"/>
      <c r="AA58" s="30"/>
      <c r="AB58" s="14" t="inlineStr">
        <is>
          <t>Athene</t>
        </is>
      </c>
      <c r="AC58" s="14" t="inlineStr">
        <is>
          <t>Predial, Agua, HOA, CLG, Aviso Preventivo</t>
        </is>
      </c>
      <c r="AD58" s="70" t="inlineStr">
        <is>
          <t>In process</t>
        </is>
      </c>
      <c r="AE58" s="14" t="n">
        <v>8834436179</v>
      </c>
    </row>
    <row customHeight="1" ht="20" r="59">
      <c r="A59" s="3" t="inlineStr">
        <is>
          <t>824008859 - Haught</t>
        </is>
      </c>
      <c r="B59" s="14" t="inlineStr">
        <is>
          <t/>
        </is>
      </c>
      <c r="C59" s="14" t="n">
        <v>249500</v>
      </c>
      <c r="D59" s="13">
        <v>45807.0</v>
      </c>
      <c r="E59" s="14" t="inlineStr">
        <is>
          <t>Amanda Yee</t>
        </is>
      </c>
      <c r="F59" s="14" t="inlineStr">
        <is>
          <t>AY 5/23: CLG has been received. Awaiting for the cadastral appraisal. 
AY 15/5: Mifel has signed off on the draft deed. We are just waiting for technical documents (Appraisal and CLG).
AY 5/9: Banorte has signed off on the draft deed. Awaiting for Mifel's approval and new CLG.
AY 5/2: Draft deed was sent for fiduciaries review. Awaiting for tax appraisal and certificate of no debts.
AY 04/24: Permit has been received. Awaiting for Sagrario's revision on the draft deed so we can distribuite to the fiduciaries.
AY 04/10: Awaiting for FAP and draft deeds.
AY 04/03: The borrower attend to the notary's office in order to gran the POA. Preventive notice has been requested. Awaiting to receive the draft deeds.
AY 27.03: Notary is working on the draft deed. The borrower will grant POA directly in the notary offices at Mazatlan. Tecnic documents are in process. Awaiting payment for the FAP permit.</t>
        </is>
      </c>
      <c r="G59" s="77" t="inlineStr">
        <is>
          <t>Requested</t>
        </is>
      </c>
      <c r="H59" s="32" t="inlineStr">
        <is>
          <t>Approved by Legal</t>
        </is>
      </c>
      <c r="I59" s="13">
        <v>45757.0</v>
      </c>
      <c r="J59" s="18" t="inlineStr">
        <is>
          <t>Approved by Legal</t>
        </is>
      </c>
      <c r="K59" s="13" t="inlineStr">
        <is>
          <t/>
        </is>
      </c>
      <c r="L59" s="100" t="inlineStr">
        <is>
          <t>Approved by Legal</t>
        </is>
      </c>
      <c r="M59" s="13" t="inlineStr">
        <is>
          <t/>
        </is>
      </c>
      <c r="N59" s="20" t="inlineStr">
        <is>
          <t>2015 Updated (MoXi)</t>
        </is>
      </c>
      <c r="O59" s="13" t="inlineStr">
        <is>
          <t/>
        </is>
      </c>
      <c r="P59" s="21" t="inlineStr">
        <is>
          <t>Requested</t>
        </is>
      </c>
      <c r="Q59" s="53" t="inlineStr">
        <is>
          <t>ECTC Reviewed</t>
        </is>
      </c>
      <c r="R59" s="13" t="inlineStr">
        <is>
          <t/>
        </is>
      </c>
      <c r="S59" s="68" t="inlineStr">
        <is>
          <t>Received</t>
        </is>
      </c>
      <c r="T59" s="55" t="inlineStr">
        <is>
          <t>Done</t>
        </is>
      </c>
      <c r="U59" s="56" t="inlineStr">
        <is>
          <t>Done</t>
        </is>
      </c>
      <c r="V59" s="57" t="inlineStr">
        <is>
          <t>Done</t>
        </is>
      </c>
      <c r="W59" s="63" t="inlineStr">
        <is>
          <t>In process</t>
        </is>
      </c>
      <c r="X59" s="14" t="inlineStr">
        <is>
          <t/>
        </is>
      </c>
      <c r="Y59" s="28" t="inlineStr">
        <is>
          <t>Mifel</t>
        </is>
      </c>
      <c r="Z59" s="29"/>
      <c r="AA59" s="30"/>
      <c r="AB59" s="14" t="inlineStr">
        <is>
          <t>Athene</t>
        </is>
      </c>
      <c r="AC59" s="14" t="inlineStr">
        <is>
          <t>CLG</t>
        </is>
      </c>
      <c r="AD59" s="70" t="inlineStr">
        <is>
          <t>In process</t>
        </is>
      </c>
      <c r="AE59" s="14" t="n">
        <v>8539063549</v>
      </c>
    </row>
    <row customHeight="1" ht="20" r="60">
      <c r="A60" s="3" t="inlineStr">
        <is>
          <t>824008878 - Huskey General Retail</t>
        </is>
      </c>
      <c r="B60" s="14" t="inlineStr">
        <is>
          <t/>
        </is>
      </c>
      <c r="C60" s="14" t="n">
        <v>329900</v>
      </c>
      <c r="D60" s="13">
        <v>45813.0</v>
      </c>
      <c r="E60" s="14" t="inlineStr">
        <is>
          <t>Valeria Méndez Villanueva</t>
        </is>
      </c>
      <c r="F60" s="14" t="inlineStr">
        <is>
          <t>VM 5/30: the fiduciary already approved the project. We are ready to close. 
VM 5/22: waiting for the cadastral appraisal.  
VM 5/15: Sagrario is reviewing the notario projects. We are waiting for the cadastral appraisal and for Mifel to present the FAP, it took longer than expected since Olivia is mexican. 
VM 5/9. We already have the notario projects, we are waiting for the cadastral appraisal and the CNAP.
VM 5/2: FAP and preventive notice already reviewed, we are waiting for the notario project.
VM 24/4: Sagrario needs to review the FAP. 
VM 4/10: Carlos Rodea will get in touch with the borrowers for the inspection. 
VM 4/3: I already requested the commercial appraisal and the title search. i am already in contact with the borrowers and I also have the quote from the notary. 
I have already requested a quotation to notary public 31. They will acquired through a trust. To initiate contact with the borrower. Olivia purchased with as a Mexican . Before I send the welcome email, I will check with the notary and Autofin to confirm if she and her husband can be trustees or if it is necessary to constitute an LLC.</t>
        </is>
      </c>
      <c r="G60" s="51" t="inlineStr">
        <is>
          <t>All Received</t>
        </is>
      </c>
      <c r="H60" s="32" t="inlineStr">
        <is>
          <t>Approved by Legal</t>
        </is>
      </c>
      <c r="I60" s="13">
        <v>45793.0</v>
      </c>
      <c r="J60" s="18" t="inlineStr">
        <is>
          <t>Approved by Legal</t>
        </is>
      </c>
      <c r="K60" s="13" t="inlineStr">
        <is>
          <t/>
        </is>
      </c>
      <c r="L60" s="19" t="inlineStr">
        <is>
          <t>Requested (MoXi)</t>
        </is>
      </c>
      <c r="M60" s="13" t="inlineStr">
        <is>
          <t/>
        </is>
      </c>
      <c r="N60" s="20" t="inlineStr">
        <is>
          <t>2015 Updated (MoXi)</t>
        </is>
      </c>
      <c r="O60" s="13" t="inlineStr">
        <is>
          <t/>
        </is>
      </c>
      <c r="P60" s="101" t="inlineStr">
        <is>
          <t>Approved by Fiduciary</t>
        </is>
      </c>
      <c r="Q60" s="53" t="inlineStr">
        <is>
          <t>ECTC Reviewed</t>
        </is>
      </c>
      <c r="R60" s="13" t="inlineStr">
        <is>
          <t/>
        </is>
      </c>
      <c r="S60" s="68" t="inlineStr">
        <is>
          <t>Received</t>
        </is>
      </c>
      <c r="T60" s="24" t="inlineStr">
        <is>
          <t>N/A</t>
        </is>
      </c>
      <c r="U60" s="56" t="inlineStr">
        <is>
          <t>Done</t>
        </is>
      </c>
      <c r="V60" s="26" t="inlineStr">
        <is>
          <t>Waived</t>
        </is>
      </c>
      <c r="W60" s="58" t="inlineStr">
        <is>
          <t>Done</t>
        </is>
      </c>
      <c r="X60" s="14" t="inlineStr">
        <is>
          <t/>
        </is>
      </c>
      <c r="Y60" s="28" t="inlineStr">
        <is>
          <t>Mifel</t>
        </is>
      </c>
      <c r="Z60" s="29"/>
      <c r="AA60" s="30"/>
      <c r="AB60" s="14" t="inlineStr">
        <is>
          <t>Athene</t>
        </is>
      </c>
      <c r="AC60" s="14" t="inlineStr">
        <is>
          <t>HOA, Aviso Preventivo</t>
        </is>
      </c>
      <c r="AD60" s="31" t="inlineStr">
        <is>
          <t>N/A</t>
        </is>
      </c>
      <c r="AE60" s="14" t="n">
        <v>8534290958</v>
      </c>
    </row>
    <row customHeight="1" ht="20" r="61">
      <c r="A61" s="3" t="inlineStr">
        <is>
          <t>84008487 - McClain - Samsara</t>
        </is>
      </c>
      <c r="B61" s="14" t="inlineStr">
        <is>
          <t/>
        </is>
      </c>
      <c r="C61" s="14" t="n">
        <v>120900</v>
      </c>
      <c r="D61" s="13">
        <v>45799.0</v>
      </c>
      <c r="E61" s="14" t="inlineStr">
        <is>
          <t>MARIANA PINEDA PASQUEL</t>
        </is>
      </c>
      <c r="F61" s="14" t="inlineStr">
        <is>
          <t>MP 05/15/2025 from the notary we are waitng for the updated CLG. we have received all update certificates. waiting to receive the updated notary quot.</t>
        </is>
      </c>
      <c r="G61" s="51" t="inlineStr">
        <is>
          <t>All Received</t>
        </is>
      </c>
      <c r="H61" s="32" t="inlineStr">
        <is>
          <t>Approved by Legal</t>
        </is>
      </c>
      <c r="I61" s="13">
        <v>45723.0</v>
      </c>
      <c r="J61" s="18" t="inlineStr">
        <is>
          <t>Approved by Legal</t>
        </is>
      </c>
      <c r="K61" s="13">
        <v>45708.0</v>
      </c>
      <c r="L61" s="45" t="inlineStr">
        <is>
          <t>N/A</t>
        </is>
      </c>
      <c r="M61" s="13" t="inlineStr">
        <is>
          <t/>
        </is>
      </c>
      <c r="N61" s="20" t="inlineStr">
        <is>
          <t>2015 Updated (MoXi)</t>
        </is>
      </c>
      <c r="O61" s="13" t="inlineStr">
        <is>
          <t/>
        </is>
      </c>
      <c r="P61" s="61" t="inlineStr">
        <is>
          <t>Approved by MoXi Attorney</t>
        </is>
      </c>
      <c r="Q61" s="53" t="inlineStr">
        <is>
          <t>ECTC Reviewed</t>
        </is>
      </c>
      <c r="R61" s="13" t="inlineStr">
        <is>
          <t/>
        </is>
      </c>
      <c r="S61" s="68" t="inlineStr">
        <is>
          <t>Received</t>
        </is>
      </c>
      <c r="T61" s="55" t="inlineStr">
        <is>
          <t>Done</t>
        </is>
      </c>
      <c r="U61" s="56" t="inlineStr">
        <is>
          <t>Done</t>
        </is>
      </c>
      <c r="V61" s="57" t="inlineStr">
        <is>
          <t>Done</t>
        </is>
      </c>
      <c r="W61" s="82" t="inlineStr">
        <is>
          <t>Working on it</t>
        </is>
      </c>
      <c r="X61" s="14" t="inlineStr">
        <is>
          <t/>
        </is>
      </c>
      <c r="Y61" s="59" t="inlineStr">
        <is>
          <t>Autofin</t>
        </is>
      </c>
      <c r="Z61" s="29"/>
      <c r="AA61" s="30"/>
      <c r="AB61" s="14" t="inlineStr">
        <is>
          <t>Playa Financial</t>
        </is>
      </c>
      <c r="AC61" s="14" t="inlineStr">
        <is>
          <t>Predial, Cooperación por obra, Agua, HOA, No Adeudo Predial</t>
        </is>
      </c>
      <c r="AD61" s="50" t="inlineStr">
        <is>
          <t>Approved by  FID</t>
        </is>
      </c>
      <c r="AE61" s="14" t="n">
        <v>8538991089</v>
      </c>
    </row>
    <row customHeight="1" ht="20" r="62">
      <c r="A62" s="3" t="inlineStr">
        <is>
          <t>824008446 - Fromson - Samsara</t>
        </is>
      </c>
      <c r="B62" s="14" t="inlineStr">
        <is>
          <t/>
        </is>
      </c>
      <c r="C62" s="14" t="n">
        <v>165800</v>
      </c>
      <c r="D62" s="13">
        <v>45799.0</v>
      </c>
      <c r="E62" s="14" t="inlineStr">
        <is>
          <t>lreyes@portilla.com.mx</t>
        </is>
      </c>
      <c r="F62" s="14" t="inlineStr">
        <is>
          <t>05/06: The borrowers signed the partial disbursement instructions.
We are waiting for Autofin instruction letter.
30/05: The borrowers signed every closing document. We are waiting for the disbursement instruction draft.
22/05: We have completed the documentation.
We shared the closing documents with the borrower, who has already signed them.
We are now waiting for approval from Autofin.
The funds are in the escrow account.
16/05: Of all the technical documents of the property we are only missing the no debt of property taxes certificate.
We shared with the borrowers the Escrow Agreement and Its amendments. They are already signed.
We requested the borrowers their bank information for the disbursement instructions.
We are waiting for the preventive notice.
We are waiting for the delivery of the POA translation.
09/05: We are drafting the Escrow Agreement and its amendment.
The translation payment has been completed.
We received CAPA certificate, but we still missing the pending technical documents.
02/05: We received the updated personal documents from the borrowers.
We need urgently the payment of the POA translation.
We received the updated no debt of water service certificate.
We need the updating of the other technical documents.
The borrowers are upset dueto the closing delays.
We requested a new preventive notice.
24/04: We need the update of the following certificates and documents:
1. Property Tax
2. No debt of property tax
3. No debt of water service
4. HOA letter
5. CLG
We requested the borrowers the update of their proof of address.
We received the cadastral appraisal and the notary quote.
10/27: We have shared the signed KYCs with Autofin.
We are still waiting for the No Debt of Property Tax certificate; No Debt of Water Service certificate and HOA letter.
We're still waiting for the no lien certificate and the tax assessment.
The borrowers have not yet signed the escrow agreement and its amendment.</t>
        </is>
      </c>
      <c r="G62" s="42" t="inlineStr">
        <is>
          <t>Working on it</t>
        </is>
      </c>
      <c r="H62" s="32" t="inlineStr">
        <is>
          <t>Approved by Legal</t>
        </is>
      </c>
      <c r="I62" s="13">
        <v>45730.0</v>
      </c>
      <c r="J62" s="18" t="inlineStr">
        <is>
          <t>Approved by Legal</t>
        </is>
      </c>
      <c r="K62" s="13" t="inlineStr">
        <is>
          <t/>
        </is>
      </c>
      <c r="L62" s="45" t="inlineStr">
        <is>
          <t>N/A</t>
        </is>
      </c>
      <c r="M62" s="13" t="inlineStr">
        <is>
          <t/>
        </is>
      </c>
      <c r="N62" s="73" t="inlineStr">
        <is>
          <t>Requested</t>
        </is>
      </c>
      <c r="O62" s="13" t="inlineStr">
        <is>
          <t/>
        </is>
      </c>
      <c r="P62" s="102" t="inlineStr">
        <is>
          <t>Final Project Completed</t>
        </is>
      </c>
      <c r="Q62" s="53" t="inlineStr">
        <is>
          <t>ECTC Reviewed</t>
        </is>
      </c>
      <c r="R62" s="13" t="inlineStr">
        <is>
          <t/>
        </is>
      </c>
      <c r="S62" s="68" t="inlineStr">
        <is>
          <t>Received</t>
        </is>
      </c>
      <c r="T62" s="55" t="inlineStr">
        <is>
          <t>Done</t>
        </is>
      </c>
      <c r="U62" s="56" t="inlineStr">
        <is>
          <t>Done</t>
        </is>
      </c>
      <c r="V62" s="57" t="inlineStr">
        <is>
          <t>Done</t>
        </is>
      </c>
      <c r="W62" s="58" t="inlineStr">
        <is>
          <t>Done</t>
        </is>
      </c>
      <c r="X62" s="14" t="inlineStr">
        <is>
          <t/>
        </is>
      </c>
      <c r="Y62" s="59" t="inlineStr">
        <is>
          <t>Autofin</t>
        </is>
      </c>
      <c r="Z62" s="29"/>
      <c r="AA62" s="30"/>
      <c r="AB62" s="14" t="inlineStr">
        <is>
          <t>Playa Financial</t>
        </is>
      </c>
      <c r="AC62" s="14" t="inlineStr">
        <is>
          <t>Cooperación por obra, Agua, HOA, Predial</t>
        </is>
      </c>
      <c r="AD62" s="50" t="inlineStr">
        <is>
          <t>Approved by  FID</t>
        </is>
      </c>
      <c r="AE62" s="14" t="n">
        <v>8523133835</v>
      </c>
    </row>
    <row customHeight="1" ht="20" r="63">
      <c r="A63" s="3" t="inlineStr">
        <is>
          <t>824008504 - Gormley - Samsara</t>
        </is>
      </c>
      <c r="B63" s="14" t="inlineStr">
        <is>
          <t/>
        </is>
      </c>
      <c r="C63" s="14" t="n">
        <v>154700</v>
      </c>
      <c r="D63" s="13">
        <v>45799.0</v>
      </c>
      <c r="E63" s="14" t="inlineStr">
        <is>
          <t>MARIANA PINEDA PASQUEL</t>
        </is>
      </c>
      <c r="F63" s="14" t="inlineStr">
        <is>
          <t>MP 05/12/2025 We are waiting for the project to be approved by autofin</t>
        </is>
      </c>
      <c r="G63" s="51" t="inlineStr">
        <is>
          <t>All Received</t>
        </is>
      </c>
      <c r="H63" s="32" t="inlineStr">
        <is>
          <t>Approved by Legal</t>
        </is>
      </c>
      <c r="I63" s="13">
        <v>45730.0</v>
      </c>
      <c r="J63" s="18" t="inlineStr">
        <is>
          <t>Approved by Legal</t>
        </is>
      </c>
      <c r="K63" s="13">
        <v>45708.0</v>
      </c>
      <c r="L63" s="45" t="inlineStr">
        <is>
          <t>N/A</t>
        </is>
      </c>
      <c r="M63" s="13" t="inlineStr">
        <is>
          <t/>
        </is>
      </c>
      <c r="N63" s="20" t="inlineStr">
        <is>
          <t>2015 Updated (MoXi)</t>
        </is>
      </c>
      <c r="O63" s="13" t="inlineStr">
        <is>
          <t/>
        </is>
      </c>
      <c r="P63" s="61" t="inlineStr">
        <is>
          <t>Approved by MoXi Attorney</t>
        </is>
      </c>
      <c r="Q63" s="53" t="inlineStr">
        <is>
          <t>ECTC Reviewed</t>
        </is>
      </c>
      <c r="R63" s="13" t="inlineStr">
        <is>
          <t/>
        </is>
      </c>
      <c r="S63" s="68" t="inlineStr">
        <is>
          <t>Received</t>
        </is>
      </c>
      <c r="T63" s="55" t="inlineStr">
        <is>
          <t>Done</t>
        </is>
      </c>
      <c r="U63" s="56" t="inlineStr">
        <is>
          <t>Done</t>
        </is>
      </c>
      <c r="V63" s="57" t="inlineStr">
        <is>
          <t>Done</t>
        </is>
      </c>
      <c r="W63" s="82" t="inlineStr">
        <is>
          <t>Working on it</t>
        </is>
      </c>
      <c r="X63" s="14" t="inlineStr">
        <is>
          <t/>
        </is>
      </c>
      <c r="Y63" s="59" t="inlineStr">
        <is>
          <t>Autofin</t>
        </is>
      </c>
      <c r="Z63" s="29"/>
      <c r="AA63" s="30"/>
      <c r="AB63" s="14" t="inlineStr">
        <is>
          <t>Athene</t>
        </is>
      </c>
      <c r="AC63" s="14" t="inlineStr">
        <is>
          <t>Cooperación por obra, Predial, Agua, HOA, No Adeudo Predial</t>
        </is>
      </c>
      <c r="AD63" s="50" t="inlineStr">
        <is>
          <t>Approved by  FID</t>
        </is>
      </c>
      <c r="AE63" s="14" t="n">
        <v>8508286737</v>
      </c>
    </row>
    <row customHeight="1" ht="20" r="64">
      <c r="A64" s="3" t="inlineStr">
        <is>
          <t>824008490 - Kinney - Samsara</t>
        </is>
      </c>
      <c r="B64" s="14" t="inlineStr">
        <is>
          <t/>
        </is>
      </c>
      <c r="C64" s="14" t="n">
        <v>200000</v>
      </c>
      <c r="D64" s="13">
        <v>45799.0</v>
      </c>
      <c r="E64" s="14" t="inlineStr">
        <is>
          <t>ERNESTO A. TABOADA</t>
        </is>
      </c>
      <c r="F64" s="14" t="inlineStr">
        <is>
          <t>Autofin Approved the deed projects. Almost ready to close.</t>
        </is>
      </c>
      <c r="G64" s="51" t="inlineStr">
        <is>
          <t>All Received</t>
        </is>
      </c>
      <c r="H64" s="32" t="inlineStr">
        <is>
          <t>Approved by Legal</t>
        </is>
      </c>
      <c r="I64" s="13">
        <v>45730.0</v>
      </c>
      <c r="J64" s="18" t="inlineStr">
        <is>
          <t>Approved by Legal</t>
        </is>
      </c>
      <c r="K64" s="13" t="inlineStr">
        <is>
          <t/>
        </is>
      </c>
      <c r="L64" s="45" t="inlineStr">
        <is>
          <t>N/A</t>
        </is>
      </c>
      <c r="M64" s="13" t="inlineStr">
        <is>
          <t/>
        </is>
      </c>
      <c r="N64" s="20" t="inlineStr">
        <is>
          <t>2015 Updated (MoXi)</t>
        </is>
      </c>
      <c r="O64" s="13" t="inlineStr">
        <is>
          <t/>
        </is>
      </c>
      <c r="P64" s="61" t="inlineStr">
        <is>
          <t>Approved by MoXi Attorney</t>
        </is>
      </c>
      <c r="Q64" s="53" t="inlineStr">
        <is>
          <t>ECTC Reviewed</t>
        </is>
      </c>
      <c r="R64" s="13" t="inlineStr">
        <is>
          <t/>
        </is>
      </c>
      <c r="S64" s="107" t="inlineStr">
        <is>
          <t>Requested</t>
        </is>
      </c>
      <c r="T64" s="75" t="inlineStr">
        <is>
          <t>Working on Cancelation</t>
        </is>
      </c>
      <c r="U64" s="56" t="inlineStr">
        <is>
          <t>Done</t>
        </is>
      </c>
      <c r="V64" s="57" t="inlineStr">
        <is>
          <t>Done</t>
        </is>
      </c>
      <c r="W64" s="58" t="inlineStr">
        <is>
          <t>Done</t>
        </is>
      </c>
      <c r="X64" s="14" t="inlineStr">
        <is>
          <t/>
        </is>
      </c>
      <c r="Y64" s="59" t="inlineStr">
        <is>
          <t>Autofin</t>
        </is>
      </c>
      <c r="Z64" s="29"/>
      <c r="AA64" s="30"/>
      <c r="AB64" s="14" t="inlineStr">
        <is>
          <t>Playa Financial</t>
        </is>
      </c>
      <c r="AC64" s="14" t="inlineStr">
        <is>
          <t/>
        </is>
      </c>
      <c r="AD64" s="50" t="inlineStr">
        <is>
          <t>Approved by  FID</t>
        </is>
      </c>
      <c r="AE64" s="14" t="n">
        <v>8508286762</v>
      </c>
    </row>
    <row customHeight="1" ht="20" r="65">
      <c r="A65" s="3" t="inlineStr">
        <is>
          <t>824008830 - Wells - General Retail</t>
        </is>
      </c>
      <c r="B65" s="14" t="inlineStr">
        <is>
          <t/>
        </is>
      </c>
      <c r="C65" s="14" t="n">
        <v>334900</v>
      </c>
      <c r="D65" s="13">
        <v>45814.0</v>
      </c>
      <c r="E65" s="14" t="inlineStr">
        <is>
          <t>Yasmin Yektajo Farzand Shad</t>
        </is>
      </c>
      <c r="F65" s="14" t="inlineStr">
        <is>
          <t>YY 06/13: Waiting on unrecorded deed. Autofin has not signed yet.</t>
        </is>
      </c>
      <c r="G65" s="51" t="inlineStr">
        <is>
          <t>All Received</t>
        </is>
      </c>
      <c r="H65" s="32" t="inlineStr">
        <is>
          <t>Approved by Legal</t>
        </is>
      </c>
      <c r="I65" s="13">
        <v>45728.0</v>
      </c>
      <c r="J65" s="18" t="inlineStr">
        <is>
          <t>Approved by Legal</t>
        </is>
      </c>
      <c r="K65" s="13" t="inlineStr">
        <is>
          <t/>
        </is>
      </c>
      <c r="L65" s="100" t="inlineStr">
        <is>
          <t>Approved by Legal</t>
        </is>
      </c>
      <c r="M65" s="13" t="inlineStr">
        <is>
          <t/>
        </is>
      </c>
      <c r="N65" s="20" t="inlineStr">
        <is>
          <t>2015 Updated (MoXi)</t>
        </is>
      </c>
      <c r="O65" s="13" t="inlineStr">
        <is>
          <t/>
        </is>
      </c>
      <c r="P65" s="102" t="inlineStr">
        <is>
          <t>Final Project Completed</t>
        </is>
      </c>
      <c r="Q65" s="53" t="inlineStr">
        <is>
          <t>ECTC Reviewed</t>
        </is>
      </c>
      <c r="R65" s="13" t="inlineStr">
        <is>
          <t/>
        </is>
      </c>
      <c r="S65" s="68" t="inlineStr">
        <is>
          <t>Received</t>
        </is>
      </c>
      <c r="T65" s="24" t="inlineStr">
        <is>
          <t>N/A</t>
        </is>
      </c>
      <c r="U65" s="56" t="inlineStr">
        <is>
          <t>Done</t>
        </is>
      </c>
      <c r="V65" s="57" t="inlineStr">
        <is>
          <t>Done</t>
        </is>
      </c>
      <c r="W65" s="58" t="inlineStr">
        <is>
          <t>Done</t>
        </is>
      </c>
      <c r="X65" s="14" t="inlineStr">
        <is>
          <t/>
        </is>
      </c>
      <c r="Y65" s="59" t="inlineStr">
        <is>
          <t>Autofin</t>
        </is>
      </c>
      <c r="Z65" s="29"/>
      <c r="AA65" s="30"/>
      <c r="AB65" s="14" t="inlineStr">
        <is>
          <t>Athene</t>
        </is>
      </c>
      <c r="AC65" s="14" t="inlineStr">
        <is>
          <t>CLG, HOA, No Adeudo Predial, Aviso Preventivo</t>
        </is>
      </c>
      <c r="AD65" s="31" t="inlineStr">
        <is>
          <t>N/A</t>
        </is>
      </c>
      <c r="AE65" s="14" t="n">
        <v>8539017185</v>
      </c>
    </row>
    <row customHeight="1" ht="20" r="66">
      <c r="A66" s="3" t="inlineStr">
        <is>
          <t>824008892 - Jessica Rogers - General Retail</t>
        </is>
      </c>
      <c r="B66" s="14" t="inlineStr">
        <is>
          <t/>
        </is>
      </c>
      <c r="C66" s="14" t="n">
        <v>291900</v>
      </c>
      <c r="D66" s="13">
        <v>45828.0</v>
      </c>
      <c r="E66" s="14" t="inlineStr">
        <is>
          <t>Valeria Méndez Villanueva</t>
        </is>
      </c>
      <c r="F66" s="14" t="inlineStr">
        <is>
          <t>VM 6/19: Ready to sign. 
VM 6/12: The project has been approved by Mifel, we are still waiting Bajio's approval. On Monday the buyers lwayer informed us about the change in Geneva's representative, she was initially going to sign without representation, but now she granted a PoA to Richard Friend. The corresponding changes have already been made to the public deed. 
VM 5/30: The notary's projects have already been reviewed by Sagrario, Karla needs to draft some changes and share them with the trustees for approval.
VM 5/22: Same status and we are waiting to get the CNAP to be updated. VM 5/15: The notario projects are still pending, Karla from notary public 3 will send them probably on Monday. 
VM 5/9: pending notario projects. 
VM 5/2: Pending letter of HoA and OOMSAPAS. Waiting for buyer's lawyer to send the amendment to the escrow agreement. VM 4/10: The commercial appraisal has already been requested and the cadastral has been completed. We have already reviewed the letter of instruction for the extinction of the current trust and the FAP has already been reviewed too. 
VM 4/3:  I have requested the cadastral appraisal; the commercial appraisal and I have contacted Mifel. I have already reviewed the FAP, I need Sagrario's approval. VM: I sent the PoA to the borrower. Waiting for property documentation in order to request the appraisals. 
I ask Servando for the Title Search, I'm already working on the PoA, the seller need to send the pending property documents so I can request the commercial appraisal.</t>
        </is>
      </c>
      <c r="G66" s="51" t="inlineStr">
        <is>
          <t>All Received</t>
        </is>
      </c>
      <c r="H66" s="32" t="inlineStr">
        <is>
          <t>Approved by Legal</t>
        </is>
      </c>
      <c r="I66" s="13">
        <v>45793.0</v>
      </c>
      <c r="J66" s="18" t="inlineStr">
        <is>
          <t>Approved by Legal</t>
        </is>
      </c>
      <c r="K66" s="13" t="inlineStr">
        <is>
          <t/>
        </is>
      </c>
      <c r="L66" s="100" t="inlineStr">
        <is>
          <t>Approved by Legal</t>
        </is>
      </c>
      <c r="M66" s="13" t="inlineStr">
        <is>
          <t/>
        </is>
      </c>
      <c r="N66" s="20" t="inlineStr">
        <is>
          <t>2015 Updated (MoXi)</t>
        </is>
      </c>
      <c r="O66" s="13" t="inlineStr">
        <is>
          <t/>
        </is>
      </c>
      <c r="P66" s="102" t="inlineStr">
        <is>
          <t>Final Project Completed</t>
        </is>
      </c>
      <c r="Q66" s="53" t="inlineStr">
        <is>
          <t>ECTC Reviewed</t>
        </is>
      </c>
      <c r="R66" s="13" t="inlineStr">
        <is>
          <t/>
        </is>
      </c>
      <c r="S66" s="68" t="inlineStr">
        <is>
          <t>Received</t>
        </is>
      </c>
      <c r="T66" s="55" t="inlineStr">
        <is>
          <t>Done</t>
        </is>
      </c>
      <c r="U66" s="56" t="inlineStr">
        <is>
          <t>Done</t>
        </is>
      </c>
      <c r="V66" s="57" t="inlineStr">
        <is>
          <t>Done</t>
        </is>
      </c>
      <c r="W66" s="58" t="inlineStr">
        <is>
          <t>Done</t>
        </is>
      </c>
      <c r="X66" s="14" t="inlineStr">
        <is>
          <t/>
        </is>
      </c>
      <c r="Y66" s="28" t="inlineStr">
        <is>
          <t>Mifel</t>
        </is>
      </c>
      <c r="Z66" s="29"/>
      <c r="AA66" s="30"/>
      <c r="AB66" s="14" t="inlineStr">
        <is>
          <t>Athene</t>
        </is>
      </c>
      <c r="AC66" s="14" t="inlineStr">
        <is>
          <t/>
        </is>
      </c>
      <c r="AD66" s="31" t="inlineStr">
        <is>
          <t>N/A</t>
        </is>
      </c>
      <c r="AE66" s="14" t="n">
        <v>8597375150</v>
      </c>
    </row>
    <row customHeight="1" ht="20" r="67">
      <c r="A67" s="3" t="inlineStr">
        <is>
          <t>0824008867 - Kelley - General Retail</t>
        </is>
      </c>
      <c r="B67" s="14" t="inlineStr">
        <is>
          <t/>
        </is>
      </c>
      <c r="C67" s="14" t="n">
        <v>256700</v>
      </c>
      <c r="D67" s="13">
        <v>45821.0</v>
      </c>
      <c r="E67" s="14" t="inlineStr">
        <is>
          <t>Yasmin Yektajo Farzand Shad</t>
        </is>
      </c>
      <c r="F67" s="14" t="inlineStr">
        <is>
          <t>YY 6/19: Seller and buyer will sign the closing deed on June 20th.
YY 06/13: Waiting on funds to sign.</t>
        </is>
      </c>
      <c r="G67" s="51" t="inlineStr">
        <is>
          <t>All Received</t>
        </is>
      </c>
      <c r="H67" s="32" t="inlineStr">
        <is>
          <t>Approved by Legal</t>
        </is>
      </c>
      <c r="I67" s="13">
        <v>45819.0</v>
      </c>
      <c r="J67" s="18" t="inlineStr">
        <is>
          <t>Approved by Legal</t>
        </is>
      </c>
      <c r="K67" s="13" t="inlineStr">
        <is>
          <t/>
        </is>
      </c>
      <c r="L67" s="100" t="inlineStr">
        <is>
          <t>Approved by Legal</t>
        </is>
      </c>
      <c r="M67" s="13" t="inlineStr">
        <is>
          <t/>
        </is>
      </c>
      <c r="N67" s="20" t="inlineStr">
        <is>
          <t>2015 Updated (MoXi)</t>
        </is>
      </c>
      <c r="O67" s="13" t="inlineStr">
        <is>
          <t/>
        </is>
      </c>
      <c r="P67" s="102" t="inlineStr">
        <is>
          <t>Final Project Completed</t>
        </is>
      </c>
      <c r="Q67" s="53" t="inlineStr">
        <is>
          <t>ECTC Reviewed</t>
        </is>
      </c>
      <c r="R67" s="13" t="inlineStr">
        <is>
          <t/>
        </is>
      </c>
      <c r="S67" s="68" t="inlineStr">
        <is>
          <t>Received</t>
        </is>
      </c>
      <c r="T67" s="55" t="inlineStr">
        <is>
          <t>Done</t>
        </is>
      </c>
      <c r="U67" s="56" t="inlineStr">
        <is>
          <t>Done</t>
        </is>
      </c>
      <c r="V67" s="57" t="inlineStr">
        <is>
          <t>Done</t>
        </is>
      </c>
      <c r="W67" s="58" t="inlineStr">
        <is>
          <t>Done</t>
        </is>
      </c>
      <c r="X67" s="14" t="inlineStr">
        <is>
          <t/>
        </is>
      </c>
      <c r="Y67" s="28" t="inlineStr">
        <is>
          <t>Mifel</t>
        </is>
      </c>
      <c r="Z67" s="29"/>
      <c r="AA67" s="30"/>
      <c r="AB67" s="14" t="inlineStr">
        <is>
          <t>Athene</t>
        </is>
      </c>
      <c r="AC67" s="14" t="inlineStr">
        <is>
          <t>No Adeudo Predial, Aviso Preventivo</t>
        </is>
      </c>
      <c r="AD67" s="31" t="inlineStr">
        <is>
          <t>N/A</t>
        </is>
      </c>
      <c r="AE67" s="14" t="n">
        <v>8639441597</v>
      </c>
    </row>
    <row customHeight="1" ht="20" r="68">
      <c r="A68" s="3" t="inlineStr">
        <is>
          <t>824008955 - Miriam Askarinam - General Retail</t>
        </is>
      </c>
      <c r="B68" s="14" t="inlineStr">
        <is>
          <t/>
        </is>
      </c>
      <c r="C68" s="14" t="n">
        <v>181950</v>
      </c>
      <c r="D68" s="13">
        <v>45841.0</v>
      </c>
      <c r="E68" s="14" t="inlineStr">
        <is>
          <t>Beatriz Meléndez</t>
        </is>
      </c>
      <c r="F68" s="14" t="inlineStr">
        <is>
          <t>06/29 BM - I received the PoA and apostille. Sagrario requested the translation of the apostille. I sent Miriam the EA template with GES for review and then signature. The draft deed is under review with Mifel. I received permission from the Ministry of Foreign Affairs and sent it to the notary.
06/19 BM - Sagrario is reviewing the deed project. A request for permission was sent to Mifel. The Borrower has the draft of the PoA to notarize and apostille. I sent documents from the Originator to Mexlaw for review; once authorized, the amendment to the escrow can be signed.
06/12 BM - I sent the permit application to Mifel. I'm waiting for the notary to send me the draft of the deed. I've sent the draft PoA for review. Regarding escrow, the buyer and seller signed an escrow with MEXLAW, and we've never worked with them. They emailed me with some questions and requests for documents. I'm waiting for feedback from Melissa so I can respond and find out if we can close with them.</t>
        </is>
      </c>
      <c r="G68" s="51" t="inlineStr">
        <is>
          <t>All Received</t>
        </is>
      </c>
      <c r="H68" s="32" t="inlineStr">
        <is>
          <t>Approved by Legal</t>
        </is>
      </c>
      <c r="I68" s="13">
        <v>45824.0</v>
      </c>
      <c r="J68" s="72" t="inlineStr">
        <is>
          <t>Requested (MoXi)</t>
        </is>
      </c>
      <c r="K68" s="13" t="inlineStr">
        <is>
          <t/>
        </is>
      </c>
      <c r="L68" s="45" t="inlineStr">
        <is>
          <t>N/A</t>
        </is>
      </c>
      <c r="M68" s="13" t="inlineStr">
        <is>
          <t/>
        </is>
      </c>
      <c r="N68" s="20" t="inlineStr">
        <is>
          <t>2015 Updated (MoXi)</t>
        </is>
      </c>
      <c r="O68" s="13" t="inlineStr">
        <is>
          <t/>
        </is>
      </c>
      <c r="P68" s="67" t="inlineStr">
        <is>
          <t>Ready to review</t>
        </is>
      </c>
      <c r="Q68" s="53" t="inlineStr">
        <is>
          <t>ECTC Reviewed</t>
        </is>
      </c>
      <c r="R68" s="13" t="inlineStr">
        <is>
          <t/>
        </is>
      </c>
      <c r="S68" s="68" t="inlineStr">
        <is>
          <t>Received</t>
        </is>
      </c>
      <c r="T68" s="24" t="inlineStr">
        <is>
          <t>N/A</t>
        </is>
      </c>
      <c r="U68" s="62" t="inlineStr">
        <is>
          <t>Working on it</t>
        </is>
      </c>
      <c r="V68" s="57" t="inlineStr">
        <is>
          <t>Done</t>
        </is>
      </c>
      <c r="W68" s="76" t="inlineStr">
        <is>
          <t>Requested</t>
        </is>
      </c>
      <c r="X68" s="14" t="inlineStr">
        <is>
          <t>824008955 - Miriam Askarinam - General Retail</t>
        </is>
      </c>
      <c r="Y68" s="28" t="inlineStr">
        <is>
          <t>Mifel</t>
        </is>
      </c>
      <c r="Z68" s="29"/>
      <c r="AA68" s="30"/>
      <c r="AB68" s="14" t="inlineStr">
        <is>
          <t>Athene</t>
        </is>
      </c>
      <c r="AC68" s="14" t="inlineStr">
        <is>
          <t/>
        </is>
      </c>
      <c r="AD68" s="31" t="inlineStr">
        <is>
          <t>N/A</t>
        </is>
      </c>
      <c r="AE68" s="14" t="n">
        <v>8950087000</v>
      </c>
    </row>
    <row customHeight="1" ht="20" r="69">
      <c r="A69" s="3" t="inlineStr">
        <is>
          <t>84008614 - Meadors - General Retail</t>
        </is>
      </c>
      <c r="B69" s="14" t="inlineStr">
        <is>
          <t/>
        </is>
      </c>
      <c r="C69" s="14" t="n">
        <v>222200</v>
      </c>
      <c r="D69" s="13">
        <v>45838.0</v>
      </c>
      <c r="E69" s="14" t="inlineStr">
        <is>
          <t>lreyes@portilla.com.mx</t>
        </is>
      </c>
      <c r="F69" s="14" t="inlineStr">
        <is>
          <t>27/06: Autofin has approved the closing.
We are waiting for the borrowers to wire the funds to the escrow account.
We also need the notary's quote.
We also need information on some disbursements.
The notary hasn’t confirmed the closing date yet.
20/06: We have shared every single document with Autofin.
We are waiting for Autofin's approval.
We need to close this month.
13/06: All the necessary documentation has been completed.
We sent the draft of the deed to Autofin.
The borrowers and the seller signed new escrow agreements and amendments.
We have also received the new commercial appraisal.
We have received the CLG pdf.
05/06: Autofin’s file is almost completed.
The preventive notice and no lien certificate was ordered.
We received the draft of the deed.
We are waiting for the commercial appraisal.
We will need an amendment to the escrow agreement.</t>
        </is>
      </c>
      <c r="G69" s="51" t="inlineStr">
        <is>
          <t>All Received</t>
        </is>
      </c>
      <c r="H69" s="32" t="inlineStr">
        <is>
          <t>Approved by Legal</t>
        </is>
      </c>
      <c r="I69" s="13">
        <v>45821.0</v>
      </c>
      <c r="J69" s="18" t="inlineStr">
        <is>
          <t>Approved by Legal</t>
        </is>
      </c>
      <c r="K69" s="13" t="inlineStr">
        <is>
          <t/>
        </is>
      </c>
      <c r="L69" s="100" t="inlineStr">
        <is>
          <t>Approved by Legal</t>
        </is>
      </c>
      <c r="M69" s="13" t="inlineStr">
        <is>
          <t/>
        </is>
      </c>
      <c r="N69" s="115" t="inlineStr">
        <is>
          <t>In process</t>
        </is>
      </c>
      <c r="O69" s="13" t="inlineStr">
        <is>
          <t/>
        </is>
      </c>
      <c r="P69" s="61" t="inlineStr">
        <is>
          <t>Approved by MoXi Attorney</t>
        </is>
      </c>
      <c r="Q69" s="53" t="inlineStr">
        <is>
          <t>ECTC Reviewed</t>
        </is>
      </c>
      <c r="R69" s="13" t="inlineStr">
        <is>
          <t/>
        </is>
      </c>
      <c r="S69" s="68" t="inlineStr">
        <is>
          <t>Received</t>
        </is>
      </c>
      <c r="T69" s="55" t="inlineStr">
        <is>
          <t>Done</t>
        </is>
      </c>
      <c r="U69" s="56" t="inlineStr">
        <is>
          <t>Done</t>
        </is>
      </c>
      <c r="V69" s="57" t="inlineStr">
        <is>
          <t>Done</t>
        </is>
      </c>
      <c r="W69" s="58" t="inlineStr">
        <is>
          <t>Done</t>
        </is>
      </c>
      <c r="X69" s="14" t="inlineStr">
        <is>
          <t/>
        </is>
      </c>
      <c r="Y69" s="59" t="inlineStr">
        <is>
          <t>Autofin</t>
        </is>
      </c>
      <c r="Z69" s="29"/>
      <c r="AA69" s="30"/>
      <c r="AB69" s="14" t="inlineStr">
        <is>
          <t>Athene</t>
        </is>
      </c>
      <c r="AC69" s="14" t="inlineStr">
        <is>
          <t/>
        </is>
      </c>
      <c r="AD69" s="70" t="inlineStr">
        <is>
          <t>In process</t>
        </is>
      </c>
      <c r="AE69" s="14" t="n">
        <v>8539056352</v>
      </c>
    </row>
    <row customHeight="1" ht="20" r="70">
      <c r="A70" s="3" t="inlineStr">
        <is>
          <t>824008738 Plocharzyk - The Village</t>
        </is>
      </c>
      <c r="B70" s="14" t="inlineStr">
        <is>
          <t/>
        </is>
      </c>
      <c r="C70" s="14" t="n">
        <v>148150</v>
      </c>
      <c r="D70" s="13">
        <v>45838.0</v>
      </c>
      <c r="E70" s="14" t="inlineStr">
        <is>
          <t>Amanda Yee</t>
        </is>
      </c>
      <c r="F70" s="14" t="inlineStr">
        <is>
          <t>AY 7/4: Closed. Pending final disbursement.
AY 6/26: Closing is scheduled for June 30th.
AY 6/19: Awaiting approval from Autofin, CLG and preventive notice.
AY 6/13: We are currently awaiting receipt of the KYCs for the borrower's attorney-in-fact (POA). Autofin is still reviewing the draft deed. Awaiting for CLG and HOA letter.
AY 6/5: I sent a follow up email to the borrower informing him that we would like to close on June. I have not received a response back yet. Regarding the closing process, we are still awaiting the approval from Autofin, CLG, preventive notice, CAPA and HOA letter.
AY 5/9: Awaiting response from Autofin.
AY 5/9: Awaiting for new certificate of no liens and preventive notice. Pending approval from Autofin. Certificate of no debt of water and HOA.
AY 5/2: Sagrario spoke with the Notary in order to explain the current changes. Notary is reviewing the POA issue. We will request the updated certificates of no debt to the seller.
AY 04/24: Awaiting seller's documentation for Autofin. CLG, preventive notice and certificate of cooperacion por obra must be renewed. Awaiting to receive certificate of no debt of HOA and water.
AY 04/10: Awaiting seller´s documentation; certificate of no debt might be renewed; awaiting Autofin´s approval.
AY 04/03: Technical documents were received. We will need to amend the draft deed and preventive notice in order to reflect the current changes from Sinergia to Originadora.
AY 27.03: Awaiting for tecnic documents and autofin´s revision.  Autofin will not review files without full project. From there we need 15 bds</t>
        </is>
      </c>
      <c r="G70" s="51" t="inlineStr">
        <is>
          <t>All Received</t>
        </is>
      </c>
      <c r="H70" s="32" t="inlineStr">
        <is>
          <t>Approved by Legal</t>
        </is>
      </c>
      <c r="I70" s="13">
        <v>45712.0</v>
      </c>
      <c r="J70" s="18" t="inlineStr">
        <is>
          <t>Approved by Legal</t>
        </is>
      </c>
      <c r="K70" s="13" t="inlineStr">
        <is>
          <t/>
        </is>
      </c>
      <c r="L70" s="100" t="inlineStr">
        <is>
          <t>Approved by Legal</t>
        </is>
      </c>
      <c r="M70" s="13" t="inlineStr">
        <is>
          <t/>
        </is>
      </c>
      <c r="N70" s="20" t="inlineStr">
        <is>
          <t>2015 Updated (MoXi)</t>
        </is>
      </c>
      <c r="O70" s="13" t="inlineStr">
        <is>
          <t/>
        </is>
      </c>
      <c r="P70" s="61" t="inlineStr">
        <is>
          <t>Approved by MoXi Attorney</t>
        </is>
      </c>
      <c r="Q70" s="53" t="inlineStr">
        <is>
          <t>ECTC Reviewed</t>
        </is>
      </c>
      <c r="R70" s="13" t="inlineStr">
        <is>
          <t/>
        </is>
      </c>
      <c r="S70" s="68" t="inlineStr">
        <is>
          <t>Received</t>
        </is>
      </c>
      <c r="T70" s="55" t="inlineStr">
        <is>
          <t>Done</t>
        </is>
      </c>
      <c r="U70" s="56" t="inlineStr">
        <is>
          <t>Done</t>
        </is>
      </c>
      <c r="V70" s="57" t="inlineStr">
        <is>
          <t>Done</t>
        </is>
      </c>
      <c r="W70" s="58" t="inlineStr">
        <is>
          <t>Done</t>
        </is>
      </c>
      <c r="X70" s="14" t="inlineStr">
        <is>
          <t/>
        </is>
      </c>
      <c r="Y70" s="59" t="inlineStr">
        <is>
          <t>Autofin</t>
        </is>
      </c>
      <c r="Z70" s="29" t="inlineStr">
        <is>
          <t/>
        </is>
      </c>
      <c r="AA70" s="30"/>
      <c r="AB70" s="14" t="inlineStr">
        <is>
          <t>Athene</t>
        </is>
      </c>
      <c r="AC70" s="14" t="inlineStr">
        <is>
          <t>Predial, Cooperación por obra, HOA, No Adeudo Predial</t>
        </is>
      </c>
      <c r="AD70" s="64" t="inlineStr">
        <is>
          <t>Partial Seller Docs</t>
        </is>
      </c>
      <c r="AE70" s="14" t="n">
        <v>8538993764</v>
      </c>
    </row>
    <row customHeight="1" ht="20" r="71">
      <c r="A71" s="3" t="inlineStr">
        <is>
          <t>824008781 - LeJeune - The Village</t>
        </is>
      </c>
      <c r="B71" s="14" t="inlineStr">
        <is>
          <t/>
        </is>
      </c>
      <c r="C71" s="14" t="n">
        <v>139200</v>
      </c>
      <c r="D71" s="13">
        <v>45838.0</v>
      </c>
      <c r="E71" s="14" t="inlineStr">
        <is>
          <t>MARIANA PINEDA PASQUEL</t>
        </is>
      </c>
      <c r="F71" s="14" t="inlineStr">
        <is>
          <t>MP 20/06/2025 we are waiting to receive the project apprpved by autofin</t>
        </is>
      </c>
      <c r="G71" s="42" t="inlineStr">
        <is>
          <t>Working on it</t>
        </is>
      </c>
      <c r="H71" s="32" t="inlineStr">
        <is>
          <t>Approved by Legal</t>
        </is>
      </c>
      <c r="I71" s="13">
        <v>45771.0</v>
      </c>
      <c r="J71" s="18" t="inlineStr">
        <is>
          <t>Approved by Legal</t>
        </is>
      </c>
      <c r="K71" s="13">
        <v>45716.0</v>
      </c>
      <c r="L71" s="100" t="inlineStr">
        <is>
          <t>Approved by Legal</t>
        </is>
      </c>
      <c r="M71" s="13" t="inlineStr">
        <is>
          <t/>
        </is>
      </c>
      <c r="N71" s="20" t="inlineStr">
        <is>
          <t>2015 Updated (MoXi)</t>
        </is>
      </c>
      <c r="O71" s="13" t="inlineStr">
        <is>
          <t/>
        </is>
      </c>
      <c r="P71" s="21" t="inlineStr">
        <is>
          <t>Requested</t>
        </is>
      </c>
      <c r="Q71" s="53" t="inlineStr">
        <is>
          <t>ECTC Reviewed</t>
        </is>
      </c>
      <c r="R71" s="13" t="inlineStr">
        <is>
          <t/>
        </is>
      </c>
      <c r="S71" s="107" t="inlineStr">
        <is>
          <t>Requested</t>
        </is>
      </c>
      <c r="T71" s="24" t="inlineStr">
        <is>
          <t>N/A</t>
        </is>
      </c>
      <c r="U71" s="62" t="inlineStr">
        <is>
          <t>Working on it</t>
        </is>
      </c>
      <c r="V71" s="57" t="inlineStr">
        <is>
          <t>Done</t>
        </is>
      </c>
      <c r="W71" s="82" t="inlineStr">
        <is>
          <t>Working on it</t>
        </is>
      </c>
      <c r="X71" s="14" t="inlineStr">
        <is>
          <t/>
        </is>
      </c>
      <c r="Y71" s="59" t="inlineStr">
        <is>
          <t>Autofin</t>
        </is>
      </c>
      <c r="Z71" s="29"/>
      <c r="AA71" s="30"/>
      <c r="AB71" s="14" t="inlineStr">
        <is>
          <t>Playa Financial</t>
        </is>
      </c>
      <c r="AC71" s="14" t="inlineStr">
        <is>
          <t>HOA, Cooperación por obra, cedula catastral</t>
        </is>
      </c>
      <c r="AD71" s="50" t="inlineStr">
        <is>
          <t>Approved by  FID</t>
        </is>
      </c>
      <c r="AE71" s="14" t="n">
        <v>8539035283</v>
      </c>
    </row>
    <row customHeight="1" ht="20" r="72">
      <c r="A72" s="3" t="inlineStr">
        <is>
          <t>824008933 - Allen Goss - General Retail</t>
        </is>
      </c>
      <c r="B72" s="14" t="inlineStr">
        <is>
          <t/>
        </is>
      </c>
      <c r="C72" s="14" t="n">
        <v>601150</v>
      </c>
      <c r="D72" s="13">
        <v>45848.0</v>
      </c>
      <c r="E72" s="14" t="inlineStr">
        <is>
          <t>Beatriz Meléndez</t>
        </is>
      </c>
      <c r="F72" s="14" t="inlineStr">
        <is>
          <t>7/4  We are missing  Monex approval 07/03 BM - We have already received Monex's comments on the project of the writing. I am finishing the formats for Mifel to send them for signature. They requested the closing on July 9 or 10.
06/26 BM - I received the permit from the Ministry of Foreign Affairs (SRE), and it has been sent to the notary. The letter of instruction from Monex has already been requested. The buyers' PoA will be issued today or Monday at the notary's office.
06/19 BM - Sagrario sent the project with comments to the notary and requested that it be sent to Banca Mifel. The Borrowers will grant the power of attorney at the notary on June 29 when they come to Mexico. Today we received the permission from the SRE and I sent it to Sagrario for review to then will send it to the notary.
06/12 BM- I sent a permit application to Banca Mifel. I sent Sagrario a draft deed for review. I sent Sagrario a draft of the letter to terminate the MONEX trust.
06/05 BM- I sent Sagrario the project of the deed with comments. I resend the request for permission from the SRE to Sagrario, since Mifel made other modifications. The clients want to close between June 30 and July 4.
05/29 BM - I sent the SRE permit to Sagrario again, along with new comments from Italia Rolland. I'm waiting to receive the draft deeds from the notary.
05/22 BM - Today I sent Sagrario the permit application with Mifel's comments.
On Monday, I confirmed to the notary that the trust will be established with Mifel and not Autofin. The</t>
        </is>
      </c>
      <c r="G72" s="51" t="inlineStr">
        <is>
          <t>All Received</t>
        </is>
      </c>
      <c r="H72" s="17" t="inlineStr">
        <is>
          <t>Received (MoXi)</t>
        </is>
      </c>
      <c r="I72" s="13">
        <v>45828.0</v>
      </c>
      <c r="J72" s="33" t="inlineStr">
        <is>
          <t>Received (MoXi)</t>
        </is>
      </c>
      <c r="K72" s="13" t="inlineStr">
        <is>
          <t/>
        </is>
      </c>
      <c r="L72" s="60" t="inlineStr">
        <is>
          <t>Received (MoXi)</t>
        </is>
      </c>
      <c r="M72" s="13" t="inlineStr">
        <is>
          <t/>
        </is>
      </c>
      <c r="N72" s="20" t="inlineStr">
        <is>
          <t>2015 Updated (MoXi)</t>
        </is>
      </c>
      <c r="O72" s="13" t="inlineStr">
        <is>
          <t/>
        </is>
      </c>
      <c r="P72" s="67" t="inlineStr">
        <is>
          <t>Ready to review</t>
        </is>
      </c>
      <c r="Q72" s="53" t="inlineStr">
        <is>
          <t>ECTC Reviewed</t>
        </is>
      </c>
      <c r="R72" s="13" t="inlineStr">
        <is>
          <t/>
        </is>
      </c>
      <c r="S72" s="68" t="inlineStr">
        <is>
          <t>Received</t>
        </is>
      </c>
      <c r="T72" s="75" t="inlineStr">
        <is>
          <t>Working on Cancelation</t>
        </is>
      </c>
      <c r="U72" s="40" t="inlineStr">
        <is>
          <t>Not ready to request</t>
        </is>
      </c>
      <c r="V72" s="26" t="inlineStr">
        <is>
          <t>Waived</t>
        </is>
      </c>
      <c r="W72" s="76" t="inlineStr">
        <is>
          <t>Requested</t>
        </is>
      </c>
      <c r="X72" s="14" t="inlineStr">
        <is>
          <t>824008933 - Allen Goss - General Retail</t>
        </is>
      </c>
      <c r="Y72" s="28" t="inlineStr">
        <is>
          <t>Mifel</t>
        </is>
      </c>
      <c r="Z72" s="29"/>
      <c r="AA72" s="30"/>
      <c r="AB72" s="14" t="inlineStr">
        <is>
          <t>Athene</t>
        </is>
      </c>
      <c r="AC72" s="14" t="inlineStr">
        <is>
          <t/>
        </is>
      </c>
      <c r="AD72" s="31" t="inlineStr">
        <is>
          <t>N/A</t>
        </is>
      </c>
      <c r="AE72" s="14" t="n">
        <v>8650408885</v>
      </c>
    </row>
    <row customHeight="1" ht="20" r="73">
      <c r="A73" s="3" t="inlineStr">
        <is>
          <t>824008991 - Michael Wheeler - General Retail</t>
        </is>
      </c>
      <c r="B73" s="14" t="inlineStr">
        <is>
          <t/>
        </is>
      </c>
      <c r="C73" s="14" t="n">
        <v>341600</v>
      </c>
      <c r="D73" s="13">
        <v>45856.0</v>
      </c>
      <c r="E73" s="14" t="inlineStr">
        <is>
          <t>Yasmin Yektajo Farzand Shad, Amanda Yee</t>
        </is>
      </c>
      <c r="F73" s="14" t="inlineStr">
        <is>
          <t>AY 7/17: JULY 18: CLOSING DAY.
AY 7/11: Awaiting for the seller's capital gain tax approval.
7/4/ MO  Seller wneed CFE receipt with RFC and the letter is not appoved  we need to wait for the receipt 
AY 7/4:  Approval has been received from MIFEL and BAJIO. We are awaiting the seller's capital gains tax and CLG.
AY 6/26: Approval from MIFEL has been received. Awaiting approval from Bajio, seller's tax strategy and new CLG.
YY 6/19: Awaiting for Sagrario's review on the draft deed.
YY 06/13:  Permit SRE has been requested  Waiting on comments of Sagrario to Deed draft. Drafting KYCs for Bajio and Mifel.</t>
        </is>
      </c>
      <c r="G73" s="51" t="inlineStr">
        <is>
          <t>All Received</t>
        </is>
      </c>
      <c r="H73" s="32" t="inlineStr">
        <is>
          <t>Approved by Legal</t>
        </is>
      </c>
      <c r="I73" s="13">
        <v>45824.0</v>
      </c>
      <c r="J73" s="18" t="inlineStr">
        <is>
          <t>Approved by Legal</t>
        </is>
      </c>
      <c r="K73" s="13" t="inlineStr">
        <is>
          <t/>
        </is>
      </c>
      <c r="L73" s="45" t="inlineStr">
        <is>
          <t>N/A</t>
        </is>
      </c>
      <c r="M73" s="13" t="inlineStr">
        <is>
          <t/>
        </is>
      </c>
      <c r="N73" s="20" t="inlineStr">
        <is>
          <t>2015 Updated (MoXi)</t>
        </is>
      </c>
      <c r="O73" s="13" t="inlineStr">
        <is>
          <t/>
        </is>
      </c>
      <c r="P73" s="102" t="inlineStr">
        <is>
          <t>Final Project Completed</t>
        </is>
      </c>
      <c r="Q73" s="53" t="inlineStr">
        <is>
          <t>ECTC Reviewed</t>
        </is>
      </c>
      <c r="R73" s="13" t="inlineStr">
        <is>
          <t/>
        </is>
      </c>
      <c r="S73" s="68" t="inlineStr">
        <is>
          <t>Received</t>
        </is>
      </c>
      <c r="T73" s="55" t="inlineStr">
        <is>
          <t>Done</t>
        </is>
      </c>
      <c r="U73" s="56" t="inlineStr">
        <is>
          <t>Done</t>
        </is>
      </c>
      <c r="V73" s="57" t="inlineStr">
        <is>
          <t>Done</t>
        </is>
      </c>
      <c r="W73" s="58" t="inlineStr">
        <is>
          <t>Done</t>
        </is>
      </c>
      <c r="X73" s="14" t="inlineStr">
        <is>
          <t>824008991 - Michael Wheeler - General Retail</t>
        </is>
      </c>
      <c r="Y73" s="28" t="inlineStr">
        <is>
          <t>Mifel</t>
        </is>
      </c>
      <c r="Z73" s="29"/>
      <c r="AA73" s="30"/>
      <c r="AB73" s="14" t="inlineStr">
        <is>
          <t>Athene</t>
        </is>
      </c>
      <c r="AC73" s="14" t="inlineStr">
        <is>
          <t/>
        </is>
      </c>
      <c r="AD73" s="31" t="inlineStr">
        <is>
          <t>N/A</t>
        </is>
      </c>
      <c r="AE73" s="14" t="n">
        <v>9019761725</v>
      </c>
    </row>
    <row customHeight="1" ht="20" r="74">
      <c r="A74" s="3" t="inlineStr">
        <is>
          <t>824009052 - Valerie Bouchard - General Retail - PV</t>
        </is>
      </c>
      <c r="B74" s="14" t="inlineStr">
        <is>
          <t/>
        </is>
      </c>
      <c r="C74" s="14" t="n">
        <v>300000</v>
      </c>
      <c r="D74" s="13">
        <v>45867.0</v>
      </c>
      <c r="E74" s="14" t="inlineStr">
        <is>
          <t>Beatriz Meléndez</t>
        </is>
      </c>
      <c r="F74" s="14" t="inlineStr">
        <is>
          <t>07/24 BM- The deed project was sent for review to Mifel and Bajío. The buyers sent the Mifel and Bajio forms to the notary. The closing is scheduled for July 29 at 10:00 am at the notary's office. I have already asked the notary to update me the quote for the buyer and seller, as well as the income tax.
07/17 BM - We received the deed project. I still haven't received a response from Banco del Bajío. I am still waiting for the buyers to send me the signed forms (Mifel, Notary, and Banco del Bajío)
07/10 BM - I sent the Mifel forms to the parties for review and signature. I am still waiting for the commercial appraisal. I requested the draft of the deeds from the notary again. I sent Servnado the quote for the expert appraisal and certificates of no debt. I sent the instruction letter to Banco del Bajío for review again.
07/03 BM - The notary confirmed receiving the advance payment made by the buyers. Awaiting the drafts of the deeds. The amendment to the EA has already been signed and I sent it to Armour. I am working on the Mifel formats.
06/28 BM- The borrower made the advance payment to the notary, and I'm waiting for the notary to confirm receipt of the transfer of funds. I've asked the notary to prepare the draft deeds and request the certificate. The request for permission from the Ministry of Foreign Affairs has already been sent to Mifel. I'm waiting for confirmation of the draft Amendment to the EA so I can send it for signature. I received the apostilled PoA, and we also have the translation.
06/19 BM - I sent the notary quote to the borrowers and requested the advance payment for the notary. However, they want a call with the MoXi team to clarify some doubts. I also sent a draft of the PoA for them to grant and apostille it. I submitted the permission request to the SRE to Mifel.</t>
        </is>
      </c>
      <c r="G74" s="51" t="inlineStr">
        <is>
          <t>All Received</t>
        </is>
      </c>
      <c r="H74" s="32" t="inlineStr">
        <is>
          <t>Approved by Legal</t>
        </is>
      </c>
      <c r="I74" s="13">
        <v>45854.0</v>
      </c>
      <c r="J74" s="18" t="inlineStr">
        <is>
          <t>Approved by Legal</t>
        </is>
      </c>
      <c r="K74" s="13" t="inlineStr">
        <is>
          <t/>
        </is>
      </c>
      <c r="L74" s="100" t="inlineStr">
        <is>
          <t>Approved by Legal</t>
        </is>
      </c>
      <c r="M74" s="13" t="inlineStr">
        <is>
          <t/>
        </is>
      </c>
      <c r="N74" s="20" t="inlineStr">
        <is>
          <t>2015 Updated (MoXi)</t>
        </is>
      </c>
      <c r="O74" s="13" t="inlineStr">
        <is>
          <t/>
        </is>
      </c>
      <c r="P74" s="61" t="inlineStr">
        <is>
          <t>Approved by MoXi Attorney</t>
        </is>
      </c>
      <c r="Q74" s="53" t="inlineStr">
        <is>
          <t>ECTC Reviewed</t>
        </is>
      </c>
      <c r="R74" s="13" t="inlineStr">
        <is>
          <t/>
        </is>
      </c>
      <c r="S74" s="68" t="inlineStr">
        <is>
          <t>Received</t>
        </is>
      </c>
      <c r="T74" s="75" t="inlineStr">
        <is>
          <t>Working on Cancelation</t>
        </is>
      </c>
      <c r="U74" s="103" t="inlineStr">
        <is>
          <t>Requested</t>
        </is>
      </c>
      <c r="V74" s="57" t="inlineStr">
        <is>
          <t>Done</t>
        </is>
      </c>
      <c r="W74" s="58" t="inlineStr">
        <is>
          <t>Done</t>
        </is>
      </c>
      <c r="X74" s="14" t="inlineStr">
        <is>
          <t>824009052 - Valerie Bouchard - General Retail - PV</t>
        </is>
      </c>
      <c r="Y74" s="28" t="inlineStr">
        <is>
          <t>Mifel</t>
        </is>
      </c>
      <c r="Z74" s="29"/>
      <c r="AA74" s="30"/>
      <c r="AB74" s="14" t="inlineStr">
        <is>
          <t>Athene</t>
        </is>
      </c>
      <c r="AC74" s="14" t="inlineStr">
        <is>
          <t/>
        </is>
      </c>
      <c r="AD74" s="31" t="inlineStr">
        <is>
          <t>N/A</t>
        </is>
      </c>
      <c r="AE74" s="14" t="n">
        <v>9169637615</v>
      </c>
    </row>
    <row customHeight="1" ht="20" r="75">
      <c r="A75" s="3" t="inlineStr">
        <is>
          <t>824008655 - Dokimos - General Retail</t>
        </is>
      </c>
      <c r="B75" s="14" t="inlineStr">
        <is>
          <t/>
        </is>
      </c>
      <c r="C75" s="14" t="n">
        <v>499900</v>
      </c>
      <c r="D75" s="13">
        <v>45870.0</v>
      </c>
      <c r="E75" s="14" t="inlineStr">
        <is>
          <t>Ricardo Miguel Hernandez Sosa</t>
        </is>
      </c>
      <c r="F75" s="14" t="inlineStr">
        <is>
          <t>RH 8/14: Schedule to close tomorrow at the notary's office.</t>
        </is>
      </c>
      <c r="G75" s="51" t="inlineStr">
        <is>
          <t>All Received</t>
        </is>
      </c>
      <c r="H75" s="32" t="inlineStr">
        <is>
          <t>Approved by Legal</t>
        </is>
      </c>
      <c r="I75" s="13">
        <v>45712.0</v>
      </c>
      <c r="J75" s="18" t="inlineStr">
        <is>
          <t>Approved by Legal</t>
        </is>
      </c>
      <c r="K75" s="13" t="inlineStr">
        <is>
          <t/>
        </is>
      </c>
      <c r="L75" s="100" t="inlineStr">
        <is>
          <t>Approved by Legal</t>
        </is>
      </c>
      <c r="M75" s="13" t="inlineStr">
        <is>
          <t/>
        </is>
      </c>
      <c r="N75" s="20" t="inlineStr">
        <is>
          <t>2015 Updated (MoXi)</t>
        </is>
      </c>
      <c r="O75" s="13" t="inlineStr">
        <is>
          <t/>
        </is>
      </c>
      <c r="P75" s="102" t="inlineStr">
        <is>
          <t>Final Project Completed</t>
        </is>
      </c>
      <c r="Q75" s="53" t="inlineStr">
        <is>
          <t>ECTC Reviewed</t>
        </is>
      </c>
      <c r="R75" s="13" t="inlineStr">
        <is>
          <t/>
        </is>
      </c>
      <c r="S75" s="68" t="inlineStr">
        <is>
          <t>Received</t>
        </is>
      </c>
      <c r="T75" s="55" t="inlineStr">
        <is>
          <t>Done</t>
        </is>
      </c>
      <c r="U75" s="56" t="inlineStr">
        <is>
          <t>Done</t>
        </is>
      </c>
      <c r="V75" s="57" t="inlineStr">
        <is>
          <t>Done</t>
        </is>
      </c>
      <c r="W75" s="58" t="inlineStr">
        <is>
          <t>Done</t>
        </is>
      </c>
      <c r="X75" s="14" t="inlineStr">
        <is>
          <t/>
        </is>
      </c>
      <c r="Y75" s="59" t="inlineStr">
        <is>
          <t>Autofin</t>
        </is>
      </c>
      <c r="Z75" s="29"/>
      <c r="AA75" s="30"/>
      <c r="AB75" s="14" t="inlineStr">
        <is>
          <t>Athene</t>
        </is>
      </c>
      <c r="AC75" s="14" t="inlineStr">
        <is>
          <t>Agua, HOA, No Adeudo Predial</t>
        </is>
      </c>
      <c r="AD75" s="31" t="inlineStr">
        <is>
          <t>N/A</t>
        </is>
      </c>
      <c r="AE75" s="14" t="n">
        <v>8539028478</v>
      </c>
    </row>
    <row customHeight="1" ht="20" r="76">
      <c r="A76" s="3" t="inlineStr">
        <is>
          <t>824008870 - Richard Marshall - The Village</t>
        </is>
      </c>
      <c r="B76" s="14" t="inlineStr">
        <is>
          <t/>
        </is>
      </c>
      <c r="C76" s="14" t="n">
        <v>157200</v>
      </c>
      <c r="D76" s="13">
        <v>45866.0</v>
      </c>
      <c r="E76" s="14" t="inlineStr">
        <is>
          <t>Víctor Morales Correa</t>
        </is>
      </c>
      <c r="F76" s="14" t="inlineStr">
        <is>
          <t>VM 2/5: File was assigned to Victor Morales. Contact with the borrower was initiated. Working on the draft of the permit.</t>
        </is>
      </c>
      <c r="G76" s="51" t="inlineStr">
        <is>
          <t>All Received</t>
        </is>
      </c>
      <c r="H76" s="32" t="inlineStr">
        <is>
          <t>Approved by Legal</t>
        </is>
      </c>
      <c r="I76" s="13">
        <v>45824.0</v>
      </c>
      <c r="J76" s="33" t="inlineStr">
        <is>
          <t>Received (MoXi)</t>
        </is>
      </c>
      <c r="K76" s="13" t="inlineStr">
        <is>
          <t/>
        </is>
      </c>
      <c r="L76" s="60" t="inlineStr">
        <is>
          <t>Received (MoXi)</t>
        </is>
      </c>
      <c r="M76" s="13" t="inlineStr">
        <is>
          <t/>
        </is>
      </c>
      <c r="N76" s="20" t="inlineStr">
        <is>
          <t>2015 Updated (MoXi)</t>
        </is>
      </c>
      <c r="O76" s="13" t="inlineStr">
        <is>
          <t/>
        </is>
      </c>
      <c r="P76" s="102" t="inlineStr">
        <is>
          <t>Final Project Completed</t>
        </is>
      </c>
      <c r="Q76" s="53" t="inlineStr">
        <is>
          <t>ECTC Reviewed</t>
        </is>
      </c>
      <c r="R76" s="13" t="inlineStr">
        <is>
          <t/>
        </is>
      </c>
      <c r="S76" s="74" t="inlineStr">
        <is>
          <t>Working on the permit request</t>
        </is>
      </c>
      <c r="T76" s="24" t="inlineStr">
        <is>
          <t>N/A</t>
        </is>
      </c>
      <c r="U76" s="80"/>
      <c r="V76" s="57" t="inlineStr">
        <is>
          <t>Done</t>
        </is>
      </c>
      <c r="W76" s="58" t="inlineStr">
        <is>
          <t>Done</t>
        </is>
      </c>
      <c r="X76" s="14" t="inlineStr">
        <is>
          <t>824008870 - Richard Marshall - The Village, 824008870 - Richard Marshall - The Village</t>
        </is>
      </c>
      <c r="Y76" s="59" t="inlineStr">
        <is>
          <t>Autofin</t>
        </is>
      </c>
      <c r="Z76" s="29"/>
      <c r="AA76" s="30"/>
      <c r="AB76" s="14" t="inlineStr">
        <is>
          <t>Athene</t>
        </is>
      </c>
      <c r="AC76" s="14" t="inlineStr">
        <is>
          <t>cedula catastral, Agua, Aviso Preventivo, Cooperación por obra, No Adeudo Predial, Av</t>
        </is>
      </c>
      <c r="AD76" s="50" t="inlineStr">
        <is>
          <t>Approved by  FID</t>
        </is>
      </c>
      <c r="AE76" s="14" t="n">
        <v>8950092675</v>
      </c>
    </row>
    <row customHeight="1" ht="20" r="77">
      <c r="A77" s="3" t="inlineStr">
        <is>
          <t>824008764 - Rebecca Gaughan - The Village</t>
        </is>
      </c>
      <c r="B77" s="14" t="inlineStr">
        <is>
          <t/>
        </is>
      </c>
      <c r="C77" s="14" t="n">
        <v>139200</v>
      </c>
      <c r="D77" s="13">
        <v>45898.0</v>
      </c>
      <c r="E77" s="14" t="inlineStr">
        <is>
          <t>Amanda Yee</t>
        </is>
      </c>
      <c r="F77" s="14" t="inlineStr">
        <is>
          <t>AY 8/28: Closing date on 8/29.
AY 8/21: Awaiting for Autofin's approval.
AY 8/15: Awaiting for Autofin's approval.
AY 8/8: The borrower finally got the apostille for the POA.
8.1 MO We are waiting for the POA Apostille. 
AY 7/31: KYC documents have been sent to Autofin. The borrower informed us that the POA has been signed; however, we are still awaiting receipt of the apostille.
AY 7/23: The borrower has already signed the POA. The apostille is in process, along with the CLG, preventive notice and constancia of CAPA.
AY 7/17: POA has been approved by the borrower's attorney. We will send the POA for execution. 
AY 7/11: The borrower informed us that she will not be appointing Title Solutions as her POA. We are working on the adjustments for the POA.
AY 7/4: On hold. It seems that the borrower will not move forward with the transaction.
AY 6/26: ALERT! There is no response from the borrower.
AY 6/19: Permit has been received. Awaiting response from the borrower regarding the POA. We have already informed to Linda. 
MO 6. 13 No POA no Proyect  no approval AY 6/13: Permit is still in process. POA has not been sent to the borrower as I am still awaiting VoBo from Rogelio (Title Solutions).
AY 6/4: Permit has been requested. Awaiting response from Title Solutions regarding the POA. POA has not been sent to the borrower. 
Title Solutions team want to confirm the unit number with the borrower.
AY 05/08: File has been shared with the notary. Draf of POA has been sent for Rogelio's review.
AY 5/2: Awaiting for Sagrario's review on the POA. Certificate of no debts were requested to the seller. Sagrario shared the file with the notary.
AY 04/24: Working on the SRE Permit.
AY 04/10: Draft of POA has been sent for Sagrario´s review.
AY 04/03: Welcome email has been sent to the borrower in order to explain the lender's legal structure. Working on the draft of the POA.</t>
        </is>
      </c>
      <c r="G77" s="51" t="inlineStr">
        <is>
          <t>All Received</t>
        </is>
      </c>
      <c r="H77" s="32" t="inlineStr">
        <is>
          <t>Approved by Legal</t>
        </is>
      </c>
      <c r="I77" s="13">
        <v>45824.0</v>
      </c>
      <c r="J77" s="33" t="inlineStr">
        <is>
          <t>Received (MoXi)</t>
        </is>
      </c>
      <c r="K77" s="13" t="inlineStr">
        <is>
          <t/>
        </is>
      </c>
      <c r="L77" s="60" t="inlineStr">
        <is>
          <t>Received (MoXi)</t>
        </is>
      </c>
      <c r="M77" s="13" t="inlineStr">
        <is>
          <t/>
        </is>
      </c>
      <c r="N77" s="20" t="inlineStr">
        <is>
          <t>2015 Updated (MoXi)</t>
        </is>
      </c>
      <c r="O77" s="13" t="inlineStr">
        <is>
          <t/>
        </is>
      </c>
      <c r="P77" s="67" t="inlineStr">
        <is>
          <t>Ready to review</t>
        </is>
      </c>
      <c r="Q77" s="53" t="inlineStr">
        <is>
          <t>ECTC Reviewed</t>
        </is>
      </c>
      <c r="R77" s="13" t="inlineStr">
        <is>
          <t/>
        </is>
      </c>
      <c r="S77" s="68" t="inlineStr">
        <is>
          <t>Received</t>
        </is>
      </c>
      <c r="T77" s="39" t="inlineStr">
        <is>
          <t>Not ready to request</t>
        </is>
      </c>
      <c r="U77" s="40" t="inlineStr">
        <is>
          <t>Not ready to request</t>
        </is>
      </c>
      <c r="V77" s="91" t="inlineStr">
        <is>
          <t>In process</t>
        </is>
      </c>
      <c r="W77" s="27" t="inlineStr">
        <is>
          <t>Payment requested</t>
        </is>
      </c>
      <c r="X77" s="14" t="inlineStr">
        <is>
          <t>824008764 - Rebecca Gaughan - The Village, 824008764 - Rebecca Gaughan - The Village</t>
        </is>
      </c>
      <c r="Y77" s="59" t="inlineStr">
        <is>
          <t>Autofin</t>
        </is>
      </c>
      <c r="Z77" s="29"/>
      <c r="AA77" s="30"/>
      <c r="AB77" s="14" t="inlineStr">
        <is>
          <t>Playa Financial</t>
        </is>
      </c>
      <c r="AC77" s="14" t="inlineStr">
        <is>
          <t>Predial</t>
        </is>
      </c>
      <c r="AD77" s="64" t="inlineStr">
        <is>
          <t>Partial Seller Docs</t>
        </is>
      </c>
      <c r="AE77" s="14" t="n">
        <v>8807519832</v>
      </c>
    </row>
    <row customHeight="1" ht="20" r="78">
      <c r="A78" s="3" t="inlineStr">
        <is>
          <t>824009026 - Jennifer Cruz - General Retail</t>
        </is>
      </c>
      <c r="B78" s="14" t="inlineStr">
        <is>
          <t/>
        </is>
      </c>
      <c r="C78" s="14" t="n">
        <v>270800</v>
      </c>
      <c r="D78" s="13">
        <v>45891.0</v>
      </c>
      <c r="E78" s="14" t="inlineStr">
        <is>
          <t>Beatriz Meléndez</t>
        </is>
      </c>
      <c r="F78" s="14" t="inlineStr">
        <is>
          <t>08/21 BM - Closing is tomorrow at 11:00 at Notary Office 01 in PV
07/31 BM - I received permission from the SRE. I requested corrections on the quotes from the notary. I sent the Mifel Bank forms for review and signature. I sent the instruction letter and forms from Banco del Bajío for signature. I sent Servando the quote for the property appraisal and certificates of no debt. I received the escrow contract with Armour and I am working on the amendment. The closing date must be between August 12 and 19.
7/4 MO  This file is moving fast move up from August 8 to July please verify qith borrower if this is ok 
07/03 BM - I received the apostilled PoA and the translation. I requested the quote from the notary again. I am still waiting to receive the Escrow contract to work on the amendment. I am working on the Mifel formats to send them for review and signature.
06/26 BM - They should send me the apostilled PoA on Friday so I can request a translation. I've contacted the notary's office designated by the parties several times, but haven't received a response. Sagrario has already sent an email to the notary's office. I'm waiting to receive the EA so I can work on the amendment.
06/19 BM - I requested a quote from the notary. I sent a draft of the PoA to the borrowers for signature and apostille. I sent a request for permission from the SRE to Mifel. Jennifer's mother was born in Mexico, so I spoke with Sagrario and she may have to withdraw from the transaction. In this case, the purchase agreement, escrow agreement, and draft of the PoA will need to be modified.
06/12 BM - I received the property documents. I requested a commercial appraisal and title search from Servando. I sent the draft PoA for review. I'm awaiting the escrow agreement signed with Armour Secure so I can work on the draft amendment. I'm working on the draft SRE permit. I requested contact information from Notary Public No. 1 in Puerto Vallarta to send documents and request a quote.</t>
        </is>
      </c>
      <c r="G78" s="51" t="inlineStr">
        <is>
          <t>All Received</t>
        </is>
      </c>
      <c r="H78" s="17" t="inlineStr">
        <is>
          <t>Received (MoXi)</t>
        </is>
      </c>
      <c r="I78" s="13" t="inlineStr">
        <is>
          <t/>
        </is>
      </c>
      <c r="J78" s="18" t="inlineStr">
        <is>
          <t>Approved by Legal</t>
        </is>
      </c>
      <c r="K78" s="13" t="inlineStr">
        <is>
          <t/>
        </is>
      </c>
      <c r="L78" s="60" t="inlineStr">
        <is>
          <t>Received (MoXi)</t>
        </is>
      </c>
      <c r="M78" s="13" t="inlineStr">
        <is>
          <t/>
        </is>
      </c>
      <c r="N78" s="20" t="inlineStr">
        <is>
          <t>2015 Updated (MoXi)</t>
        </is>
      </c>
      <c r="O78" s="13" t="inlineStr">
        <is>
          <t/>
        </is>
      </c>
      <c r="P78" s="67" t="inlineStr">
        <is>
          <t>Ready to review</t>
        </is>
      </c>
      <c r="Q78" s="53" t="inlineStr">
        <is>
          <t>ECTC Reviewed</t>
        </is>
      </c>
      <c r="R78" s="13" t="inlineStr">
        <is>
          <t/>
        </is>
      </c>
      <c r="S78" s="68" t="inlineStr">
        <is>
          <t>Received</t>
        </is>
      </c>
      <c r="T78" s="75" t="inlineStr">
        <is>
          <t>Working on Cancelation</t>
        </is>
      </c>
      <c r="U78" s="103" t="inlineStr">
        <is>
          <t>Requested</t>
        </is>
      </c>
      <c r="V78" s="57" t="inlineStr">
        <is>
          <t>Done</t>
        </is>
      </c>
      <c r="W78" s="58" t="inlineStr">
        <is>
          <t>Done</t>
        </is>
      </c>
      <c r="X78" s="14" t="inlineStr">
        <is>
          <t>824009026 - Jennifer Cruz - General Retail - PV</t>
        </is>
      </c>
      <c r="Y78" s="28" t="inlineStr">
        <is>
          <t>Mifel</t>
        </is>
      </c>
      <c r="Z78" s="29"/>
      <c r="AA78" s="30"/>
      <c r="AB78" s="14" t="inlineStr">
        <is>
          <t>Athene</t>
        </is>
      </c>
      <c r="AC78" s="14" t="inlineStr">
        <is>
          <t/>
        </is>
      </c>
      <c r="AD78" s="31" t="inlineStr">
        <is>
          <t>N/A</t>
        </is>
      </c>
      <c r="AE78" s="14" t="n">
        <v>9283115106</v>
      </c>
    </row>
    <row customHeight="1" ht="20" r="79">
      <c r="A79" s="3" t="inlineStr">
        <is>
          <t>824008774 - Andrew Trevor - The Village</t>
        </is>
      </c>
      <c r="B79" s="14" t="inlineStr">
        <is>
          <t/>
        </is>
      </c>
      <c r="C79" s="14" t="n">
        <v>134200</v>
      </c>
      <c r="D79" s="13">
        <v>45869.0</v>
      </c>
      <c r="E79" s="14" t="inlineStr">
        <is>
          <t>MARIANA PINEDA PASQUEL</t>
        </is>
      </c>
      <c r="F79" s="14" t="inlineStr">
        <is>
          <t>MP 07/25/2025: We are awaiting for the updated cadastral tax record (cedula catastral) which is currently undergoing process.
MP 07/10/2025 I requested to the developer the letter form INVEX, the HOA letter and the payments the borrower has made.
MP 06/30/2025 The borrower has sent the POA. we have requested the trust permit.
MP 20/06/2025 I have sent the POA to the borrower, waiting for him to send i back.
MO 6.13  NO POA.  No proyect we can not move with auth MP 29/05/2025 waiting for The developer to send the documents from the property. I sent the POA to title solutions for their approval
MP 09/05/2025 I have sent the introducing e mail to the borrower. I am waiting to receive the answer from Ivan, from title solutions to see who the legal representative is going to be.</t>
        </is>
      </c>
      <c r="G79" s="42" t="inlineStr">
        <is>
          <t>Working on it</t>
        </is>
      </c>
      <c r="H79" s="32" t="inlineStr">
        <is>
          <t>Approved by Legal</t>
        </is>
      </c>
      <c r="I79" s="13">
        <v>45824.0</v>
      </c>
      <c r="J79" s="33" t="inlineStr">
        <is>
          <t>Received (MoXi)</t>
        </is>
      </c>
      <c r="K79" s="13" t="inlineStr">
        <is>
          <t/>
        </is>
      </c>
      <c r="L79" s="60" t="inlineStr">
        <is>
          <t>Received (MoXi)</t>
        </is>
      </c>
      <c r="M79" s="13" t="inlineStr">
        <is>
          <t/>
        </is>
      </c>
      <c r="N79" s="20" t="inlineStr">
        <is>
          <t>2015 Updated (MoXi)</t>
        </is>
      </c>
      <c r="O79" s="13" t="inlineStr">
        <is>
          <t/>
        </is>
      </c>
      <c r="P79" s="21" t="inlineStr">
        <is>
          <t>Requested</t>
        </is>
      </c>
      <c r="Q79" s="53" t="inlineStr">
        <is>
          <t>ECTC Reviewed</t>
        </is>
      </c>
      <c r="R79" s="13" t="inlineStr">
        <is>
          <t/>
        </is>
      </c>
      <c r="S79" s="68" t="inlineStr">
        <is>
          <t>Received</t>
        </is>
      </c>
      <c r="T79" s="94"/>
      <c r="U79" s="40" t="inlineStr">
        <is>
          <t>Not ready to request</t>
        </is>
      </c>
      <c r="V79" s="57" t="inlineStr">
        <is>
          <t>Done</t>
        </is>
      </c>
      <c r="W79" s="27" t="inlineStr">
        <is>
          <t>Payment requested</t>
        </is>
      </c>
      <c r="X79" s="14" t="inlineStr">
        <is>
          <t>824008774 - Andrew Trevor - The Village</t>
        </is>
      </c>
      <c r="Y79" s="59" t="inlineStr">
        <is>
          <t>Autofin</t>
        </is>
      </c>
      <c r="Z79" s="29"/>
      <c r="AA79" s="30"/>
      <c r="AB79" s="14" t="inlineStr">
        <is>
          <t>Playa Financial</t>
        </is>
      </c>
      <c r="AC79" s="14" t="inlineStr">
        <is>
          <t>Cooperación por obra, cedula catastral, No Adeudo Predial</t>
        </is>
      </c>
      <c r="AD79" s="31" t="inlineStr">
        <is>
          <t>N/A</t>
        </is>
      </c>
      <c r="AE79" s="14" t="n">
        <v>9019776239</v>
      </c>
    </row>
    <row customHeight="1" ht="20" r="80">
      <c r="A80" s="3" t="inlineStr">
        <is>
          <t>824009152 - Hemsley - General Retail</t>
        </is>
      </c>
      <c r="B80" s="14" t="inlineStr">
        <is>
          <t/>
        </is>
      </c>
      <c r="C80" s="14" t="n">
        <v>347700</v>
      </c>
      <c r="D80" s="13">
        <v>45898.0</v>
      </c>
      <c r="E80" s="14" t="inlineStr">
        <is>
          <t>Luisa Rascon</t>
        </is>
      </c>
      <c r="F80" s="14" t="inlineStr">
        <is>
          <t>LFRA 08/29: Review information and documents for closing with the notary, Moxi team, Banbajío, and Mifel.
LFRA 8/22: Banbajio pending aproval of deed draft. The cadastral appraisal will be ready by next week.
LFRA 08/15: Draft deed (delivered to BanBajio and Mifel) and Preventive notice draft received from notary public.  Borrowers’ PoA duly translated. Ministry of Foreign Affairs permit has been obtained. Prepared and send the escrow amendment agreement to the parties and escrow agent for execution.
LFRA 08/07 : MIFEL validated Rita Hemsley’s identity. Request for permit from the Ministry of Foreign Affairs has been submitted through Víctor Silva. The title report (TitleLink) is ready. Sellers broker are in contact with the notary to calculate the applicable capital gains tax (ISR). Messrs. Hemsley's PoA received (original document in transit) Waiting for the draft deed from&amp;nbsp;the&amp;nbsp;notary.
LFRA 8/1: Follow up with Mifel in re to Rita Hemsley's identity validation. Follow up with Notary Public and Rita in re to advance payment.  Request and collect information for BanBajio in re to trust extinction.
LFRA 7/25: Revise SRE permit, sent to Mifel for submittal. KYC forms completion. Request Certificate of no debt of property taxes. Review construction manifestation and blueprints sent by brokers sent to appraiser. Preepare and send to notary public all requested information for closing. Revise trust termination letter. Coordinate with sellers broker signature of trust termination letter. Follow up with Banbajío for trust termination.
LFRA 18/07: A draft letter to proceed with the termination of the trust with BanBajío has been prepared, as requested by the Seller’s broker, Michael Schaible.
-The predial and the property deed have been sent to Servando in order to proceed with the appraisal and title search. We are currently pending receipt of the construction statement (manifestación de construcción) and the building blueprints from the Seller’s team.</t>
        </is>
      </c>
      <c r="G80" s="77" t="inlineStr">
        <is>
          <t>Requested</t>
        </is>
      </c>
      <c r="H80" s="116" t="inlineStr">
        <is>
          <t>Awaiting Final Report (MoXi)</t>
        </is>
      </c>
      <c r="I80" s="13" t="inlineStr">
        <is>
          <t/>
        </is>
      </c>
      <c r="J80" s="33" t="inlineStr">
        <is>
          <t>Received (MoXi)</t>
        </is>
      </c>
      <c r="K80" s="13" t="inlineStr">
        <is>
          <t/>
        </is>
      </c>
      <c r="L80" s="19" t="inlineStr">
        <is>
          <t>Requested (MoXi)</t>
        </is>
      </c>
      <c r="M80" s="13" t="inlineStr">
        <is>
          <t/>
        </is>
      </c>
      <c r="N80" s="20" t="inlineStr">
        <is>
          <t>2015 Updated (MoXi)</t>
        </is>
      </c>
      <c r="O80" s="13" t="inlineStr">
        <is>
          <t/>
        </is>
      </c>
      <c r="P80" s="117" t="inlineStr">
        <is>
          <t>Pending BanBajio</t>
        </is>
      </c>
      <c r="Q80" s="53" t="inlineStr">
        <is>
          <t>ECTC Reviewed</t>
        </is>
      </c>
      <c r="R80" s="13" t="inlineStr">
        <is>
          <t/>
        </is>
      </c>
      <c r="S80" s="68" t="inlineStr">
        <is>
          <t>Received</t>
        </is>
      </c>
      <c r="T80" s="118" t="inlineStr">
        <is>
          <t>Working on Sustitution</t>
        </is>
      </c>
      <c r="U80" s="103" t="inlineStr">
        <is>
          <t>Requested</t>
        </is>
      </c>
      <c r="V80" s="57" t="inlineStr">
        <is>
          <t>Done</t>
        </is>
      </c>
      <c r="W80" s="63" t="inlineStr">
        <is>
          <t>In process</t>
        </is>
      </c>
      <c r="X80" s="14" t="inlineStr">
        <is>
          <t/>
        </is>
      </c>
      <c r="Y80" s="28" t="inlineStr">
        <is>
          <t>Mifel</t>
        </is>
      </c>
      <c r="Z80" s="29"/>
      <c r="AA80" s="30"/>
      <c r="AB80" s="14" t="inlineStr">
        <is>
          <t>Athene</t>
        </is>
      </c>
      <c r="AC80" s="14" t="inlineStr">
        <is>
          <t/>
        </is>
      </c>
      <c r="AD80" s="31" t="inlineStr">
        <is>
          <t>N/A</t>
        </is>
      </c>
      <c r="AE80" s="14" t="n">
        <v>9442990425</v>
      </c>
    </row>
    <row customHeight="1" ht="20" r="81">
      <c r="A81" s="3" t="inlineStr">
        <is>
          <t>824008655 - Bardeguez - Samsara</t>
        </is>
      </c>
      <c r="B81" s="14" t="inlineStr">
        <is>
          <t/>
        </is>
      </c>
      <c r="C81" s="14" t="n">
        <v>152800</v>
      </c>
      <c r="D81" s="13">
        <v>45897.0</v>
      </c>
      <c r="E81" s="14" t="inlineStr">
        <is>
          <t>lreyes@portilla.com.mx</t>
        </is>
      </c>
      <c r="F81" s="14" t="inlineStr">
        <is>
          <t>08/28: Moxi signed the Deed, but the Escrow funds wil not be disbursed until the funds of the borrowers are in Escrow. (Estimated date for funds: September 4).
08/22: We are waiting for confirmation of the Closing date.
We are awaiting Sagrario to share with Notary the last draft of the deed.
08/15: We are ready to close, however we are waiting Moxi to complete the ultimate controlling owner documents.
08/07: We have received all the technical documents except the CLG. 
We requested the notary quote.
The borrower's representative is available to assist the signing of the deed.
08/01: We had all the technical documents, but we coudn't close on july. We need to update only the HOA letter.
We are still waiting for the CLG and the notary quotation.
25/07: We have received almost all the technical documents  of the property, however we are missing the CAPA certificate.
We are still missing the Autofin letter, the CLG and the notary quotation.
This file is looking hard to close next week.</t>
        </is>
      </c>
      <c r="G81" s="51" t="inlineStr">
        <is>
          <t>All Received</t>
        </is>
      </c>
      <c r="H81" s="32" t="inlineStr">
        <is>
          <t>Approved by Legal</t>
        </is>
      </c>
      <c r="I81" s="13">
        <v>45855.0</v>
      </c>
      <c r="J81" s="18" t="inlineStr">
        <is>
          <t>Approved by Legal</t>
        </is>
      </c>
      <c r="K81" s="13">
        <v>45622.0</v>
      </c>
      <c r="L81" s="45" t="inlineStr">
        <is>
          <t>N/A</t>
        </is>
      </c>
      <c r="M81" s="13" t="inlineStr">
        <is>
          <t/>
        </is>
      </c>
      <c r="N81" s="79" t="inlineStr">
        <is>
          <t>Received &amp; Uploaded to Encompass</t>
        </is>
      </c>
      <c r="O81" s="13" t="inlineStr">
        <is>
          <t/>
        </is>
      </c>
      <c r="P81" s="102" t="inlineStr">
        <is>
          <t>Final Project Completed</t>
        </is>
      </c>
      <c r="Q81" s="53" t="inlineStr">
        <is>
          <t>ECTC Reviewed</t>
        </is>
      </c>
      <c r="R81" s="13" t="inlineStr">
        <is>
          <t/>
        </is>
      </c>
      <c r="S81" s="68" t="inlineStr">
        <is>
          <t>Received</t>
        </is>
      </c>
      <c r="T81" s="55" t="inlineStr">
        <is>
          <t>Done</t>
        </is>
      </c>
      <c r="U81" s="56" t="inlineStr">
        <is>
          <t>Done</t>
        </is>
      </c>
      <c r="V81" s="57" t="inlineStr">
        <is>
          <t>Done</t>
        </is>
      </c>
      <c r="W81" s="58" t="inlineStr">
        <is>
          <t>Done</t>
        </is>
      </c>
      <c r="X81" s="14" t="inlineStr">
        <is>
          <t/>
        </is>
      </c>
      <c r="Y81" s="59" t="inlineStr">
        <is>
          <t>Autofin</t>
        </is>
      </c>
      <c r="Z81" s="29"/>
      <c r="AA81" s="30"/>
      <c r="AB81" s="14" t="inlineStr">
        <is>
          <t>Playa Financial</t>
        </is>
      </c>
      <c r="AC81" s="14" t="inlineStr">
        <is>
          <t>No Adeudo Predial, Predial, Cooperación por obra, Agua, HOA, CLG, Aviso Preventivo</t>
        </is>
      </c>
      <c r="AD81" s="50" t="inlineStr">
        <is>
          <t>Approved by  FID</t>
        </is>
      </c>
      <c r="AE81" s="14" t="n">
        <v>8539031696</v>
      </c>
    </row>
    <row customHeight="1" ht="20" r="82">
      <c r="A82" s="3" t="inlineStr">
        <is>
          <t>824008748 - Estes - Village</t>
        </is>
      </c>
      <c r="B82" s="14" t="inlineStr">
        <is>
          <t/>
        </is>
      </c>
      <c r="C82" s="14" t="n">
        <v>192600</v>
      </c>
      <c r="D82" s="13">
        <v>45908.0</v>
      </c>
      <c r="E82" s="14" t="inlineStr">
        <is>
          <t>Deleted outdated pending user, Beatriz Meléndez</t>
        </is>
      </c>
      <c r="F82" s="14" t="inlineStr">
        <is>
          <t>09/11 BM - The partial disbursement for INVEX has already been made. I am waiting for the notary to obtain INVEX's signature to request the other disbursement.
09/04 BM - The file is now complete. I'm waiting for Meli to confirm whether the closing can be scheduled for Monday, September 8th at 12:30 PM at the notary's office.
08/28 BM - I received the missing documents from Mr. Estes and his attorney. I have already sent them to Banco Autofin. Today we received the project authorization from Banco Autofin and I sent it to the notary to confirm if the entire file is complete and to schedule the closing.
07/31 BM- I am waiting for Mr. Estes to send me the signed marriage letter, to send it to Autofin and the notary. Sagrario is reviewing the project. It is pending for the representative to send the signed KYC (he is on vacation). The closing has to be after August 16.
07/17 BM - I received the permission from the Ministry of Foreign Affairs and the instruction letter from Autofin. I received the PoA and the draft of the deed. The operation has to close after August 16, as the representative (Andrés) is on vacation.
07/10 BM - I received the signed KYC forms from Autofin by Mr. Estes. I am still waiting for the forms from the representative. I have already sent the Escrow Agreement to GES. I am still waiting for Mr. Estes to grant the PoA. The closing must be after August 16, as the attorney is on vacation. 
07/03 BM - I sent the request for permission from the Ministry of Foreign Affairs to Autofin. I received the notary's quote and requested the advance from Mr. Estes. I am still waiting for them to confirm the granting of the PoA, their comments on the Escrow contract, and the KYC from Autofin.
06/26 BM - I'm waiting for Mr. Estes to send me the signed Autofin KYC forms. I've already sent them the draft PoA and EA. I sent a pre-application for the permit from the Ministry of Foreign Affairs to Sagrario.</t>
        </is>
      </c>
      <c r="G82" s="51" t="inlineStr">
        <is>
          <t>All Received</t>
        </is>
      </c>
      <c r="H82" s="32" t="inlineStr">
        <is>
          <t>Approved by Legal</t>
        </is>
      </c>
      <c r="I82" s="13">
        <v>45824.0</v>
      </c>
      <c r="J82" s="33" t="inlineStr">
        <is>
          <t>Received (MoXi)</t>
        </is>
      </c>
      <c r="K82" s="13" t="inlineStr">
        <is>
          <t/>
        </is>
      </c>
      <c r="L82" s="60" t="inlineStr">
        <is>
          <t>Received (MoXi)</t>
        </is>
      </c>
      <c r="M82" s="13" t="inlineStr">
        <is>
          <t/>
        </is>
      </c>
      <c r="N82" s="20" t="inlineStr">
        <is>
          <t>2015 Updated (MoXi)</t>
        </is>
      </c>
      <c r="O82" s="13" t="inlineStr">
        <is>
          <t/>
        </is>
      </c>
      <c r="P82" s="101" t="inlineStr">
        <is>
          <t>Approved by Fiduciary</t>
        </is>
      </c>
      <c r="Q82" s="53" t="inlineStr">
        <is>
          <t>ECTC Reviewed</t>
        </is>
      </c>
      <c r="R82" s="13" t="inlineStr">
        <is>
          <t/>
        </is>
      </c>
      <c r="S82" s="68" t="inlineStr">
        <is>
          <t>Received</t>
        </is>
      </c>
      <c r="T82" s="55" t="inlineStr">
        <is>
          <t>Done</t>
        </is>
      </c>
      <c r="U82" s="56" t="inlineStr">
        <is>
          <t>Done</t>
        </is>
      </c>
      <c r="V82" s="57" t="inlineStr">
        <is>
          <t>Done</t>
        </is>
      </c>
      <c r="W82" s="58" t="inlineStr">
        <is>
          <t>Done</t>
        </is>
      </c>
      <c r="X82" s="14" t="inlineStr">
        <is>
          <t>824008748 - Estes - The Village, 824008748 - Estes - The Village</t>
        </is>
      </c>
      <c r="Y82" s="59" t="inlineStr">
        <is>
          <t>Autofin</t>
        </is>
      </c>
      <c r="Z82" s="29"/>
      <c r="AA82" s="30"/>
      <c r="AB82" s="14" t="inlineStr">
        <is>
          <t>Athene</t>
        </is>
      </c>
      <c r="AC82" s="14" t="inlineStr">
        <is>
          <t/>
        </is>
      </c>
      <c r="AD82" s="64" t="inlineStr">
        <is>
          <t>Partial Seller Docs</t>
        </is>
      </c>
      <c r="AE82" s="14" t="n">
        <v>8878573478</v>
      </c>
    </row>
    <row customHeight="1" ht="20" r="83">
      <c r="A83" s="3" t="inlineStr">
        <is>
          <t>824009173 - Markland - General Retail</t>
        </is>
      </c>
      <c r="B83" s="14" t="inlineStr">
        <is>
          <t/>
        </is>
      </c>
      <c r="C83" s="14" t="n">
        <v>600000</v>
      </c>
      <c r="D83" s="13">
        <v>45909.0</v>
      </c>
      <c r="E83" s="14" t="inlineStr">
        <is>
          <t>Amanda Yee</t>
        </is>
      </c>
      <c r="F83" s="14" t="inlineStr">
        <is>
          <t>AY 9/5: Closing date on Sept 9, 2025.
AY 8/28: Awaiting for Monex' approval.
AY 8/21: Draft deed is about to be sent for Monex review.
AY 8/15: Draft deed has been shared with us. Awaiting for technical documents. Seller is working on POA.
AY 8/8: Working on the borrower's POA.
AY 7/31: We have requested the draft deeds and technical documents, however it is importan to provide the notary with the beneficiary controller info requested from MoXi.
AY 7/23: The draft of the POA has been already sent for Sagrario's review. We have shared the file with Monex and the Notary.
AY 7/11: We have initiated contact with Monex, the process should be handle with Jose Guadalupe. Working on the draft of the POA.
AY 7/4:  We sent an email to Elizabeth from Monex to confirm whether it is feasible to complete the transaction in Punta Mita through the Los Cabos offices. We will initiate contact with the notary.
AY 6/26: We have initiated communication with the borrower's agent and closing coordinator. Awaiting to receive property docs.</t>
        </is>
      </c>
      <c r="G83" s="77" t="inlineStr">
        <is>
          <t>Requested</t>
        </is>
      </c>
      <c r="H83" s="32" t="inlineStr">
        <is>
          <t>Approved by Legal</t>
        </is>
      </c>
      <c r="I83" s="13">
        <v>45910.0</v>
      </c>
      <c r="J83" s="18" t="inlineStr">
        <is>
          <t>Approved by Legal</t>
        </is>
      </c>
      <c r="K83" s="13" t="inlineStr">
        <is>
          <t/>
        </is>
      </c>
      <c r="L83" s="100" t="inlineStr">
        <is>
          <t>Approved by Legal</t>
        </is>
      </c>
      <c r="M83" s="13" t="inlineStr">
        <is>
          <t/>
        </is>
      </c>
      <c r="N83" s="20" t="inlineStr">
        <is>
          <t>2015 Updated (MoXi)</t>
        </is>
      </c>
      <c r="O83" s="13" t="inlineStr">
        <is>
          <t/>
        </is>
      </c>
      <c r="P83" s="21" t="inlineStr">
        <is>
          <t>Requested</t>
        </is>
      </c>
      <c r="Q83" s="53" t="inlineStr">
        <is>
          <t>ECTC Reviewed</t>
        </is>
      </c>
      <c r="R83" s="13" t="inlineStr">
        <is>
          <t/>
        </is>
      </c>
      <c r="S83" s="90" t="inlineStr">
        <is>
          <t>N/A</t>
        </is>
      </c>
      <c r="T83" s="24" t="inlineStr">
        <is>
          <t>N/A</t>
        </is>
      </c>
      <c r="U83" s="62" t="inlineStr">
        <is>
          <t>Working on it</t>
        </is>
      </c>
      <c r="V83" s="95" t="inlineStr">
        <is>
          <t>Working on it</t>
        </is>
      </c>
      <c r="W83" s="76" t="inlineStr">
        <is>
          <t>Requested</t>
        </is>
      </c>
      <c r="X83" s="14" t="inlineStr">
        <is>
          <t/>
        </is>
      </c>
      <c r="Y83" s="89" t="inlineStr">
        <is>
          <t>Monex</t>
        </is>
      </c>
      <c r="Z83" s="29"/>
      <c r="AA83" s="30"/>
      <c r="AB83" s="14" t="inlineStr">
        <is>
          <t>Athene</t>
        </is>
      </c>
      <c r="AC83" s="14" t="inlineStr">
        <is>
          <t/>
        </is>
      </c>
      <c r="AD83" s="31" t="inlineStr">
        <is>
          <t>N/A</t>
        </is>
      </c>
      <c r="AE83" s="14" t="n">
        <v>9442995746</v>
      </c>
    </row>
    <row customHeight="1" ht="20" r="84">
      <c r="A84" s="3" t="inlineStr">
        <is>
          <t>824009088 - Anna Mosier - General Retail - PV</t>
        </is>
      </c>
      <c r="B84" s="14" t="inlineStr">
        <is>
          <t/>
        </is>
      </c>
      <c r="C84" s="14" t="n">
        <v>682350</v>
      </c>
      <c r="D84" s="13">
        <v>45917.0</v>
      </c>
      <c r="E84" s="14" t="inlineStr">
        <is>
          <t>Amanda Yee</t>
        </is>
      </c>
      <c r="F84" s="14" t="inlineStr">
        <is>
          <t>AY 9/19: CLOSED.
AY 9/11: Awaiting for the CLG and notary confirmation for the closing date.
AY 9/5: Awaiting birth certificate of MoXi's controller beneficiary.
AY 8/28: POA was well received. Draft deed was approved by both fiduciaries. All the technical documents are in place. Awaiting final confirmation from the notary.
AY 8/21: POA is stuck. Awaiting for Banorte's review and approval.
AY 8/15: Awaiting to receive (i) FAP, (ii) tax appraisal, (iii) draft deeds (iv) HOA and (v) seller's POA.
AY 8/8: Awaiting for draft deeds and technical documents (CLG, appraisal, certificate of no debts). The borrower's agent informed us that the surface discrepancy shall be concluded during this week.
AY 7/31: We informed the closing coordinator that both the title and commercial terms have been approved by MoXi, enabling us to proceed with the closing process. We are actively following up to obtain the draft deeds and ensure that all required technical documents are submitted. Additionally, we are urging the sellers—through the closing coordinator—to expedite the correction of the surface details as soon as possible.
AY 7/23: Awaiting the POA. The property discrepancy has been notified to the seller, and they are working on resolving it. We have reached out to MIFEL and Banorte to move the process forward. The closing coordinator is awaiting confirmation that the title search and commercial appraisal have been approved by MoXi.
AY 7/17: Sagrario found a discrepancy on the property surface. We have informed the closing coordinator.
AY 7/11: POA has been sent to the borrowers. Borrowers are awaiting confirmation regarding the status of the title search and commercial appraisal.</t>
        </is>
      </c>
      <c r="G84" s="77" t="inlineStr">
        <is>
          <t>Requested</t>
        </is>
      </c>
      <c r="H84" s="32" t="inlineStr">
        <is>
          <t>Approved by Legal</t>
        </is>
      </c>
      <c r="I84" s="13">
        <v>45855.0</v>
      </c>
      <c r="J84" s="18" t="inlineStr">
        <is>
          <t>Approved by Legal</t>
        </is>
      </c>
      <c r="K84" s="13" t="inlineStr">
        <is>
          <t/>
        </is>
      </c>
      <c r="L84" s="100" t="inlineStr">
        <is>
          <t>Approved by Legal</t>
        </is>
      </c>
      <c r="M84" s="13" t="inlineStr">
        <is>
          <t/>
        </is>
      </c>
      <c r="N84" s="20" t="inlineStr">
        <is>
          <t>2015 Updated (MoXi)</t>
        </is>
      </c>
      <c r="O84" s="13" t="inlineStr">
        <is>
          <t/>
        </is>
      </c>
      <c r="P84" s="102" t="inlineStr">
        <is>
          <t>Final Project Completed</t>
        </is>
      </c>
      <c r="Q84" s="53" t="inlineStr">
        <is>
          <t>ECTC Reviewed</t>
        </is>
      </c>
      <c r="R84" s="13" t="inlineStr">
        <is>
          <t/>
        </is>
      </c>
      <c r="S84" s="68" t="inlineStr">
        <is>
          <t>Received</t>
        </is>
      </c>
      <c r="T84" s="55" t="inlineStr">
        <is>
          <t>Done</t>
        </is>
      </c>
      <c r="U84" s="62" t="inlineStr">
        <is>
          <t>Working on it</t>
        </is>
      </c>
      <c r="V84" s="57" t="inlineStr">
        <is>
          <t>Done</t>
        </is>
      </c>
      <c r="W84" s="58" t="inlineStr">
        <is>
          <t>Done</t>
        </is>
      </c>
      <c r="X84" s="14" t="inlineStr">
        <is>
          <t>824009088 - Anna Mosier - General Retail - PV</t>
        </is>
      </c>
      <c r="Y84" s="28" t="inlineStr">
        <is>
          <t>Mifel</t>
        </is>
      </c>
      <c r="Z84" s="29"/>
      <c r="AA84" s="30"/>
      <c r="AB84" s="14" t="inlineStr">
        <is>
          <t>Athene</t>
        </is>
      </c>
      <c r="AC84" s="14" t="inlineStr">
        <is>
          <t/>
        </is>
      </c>
      <c r="AD84" s="31" t="inlineStr">
        <is>
          <t>N/A</t>
        </is>
      </c>
      <c r="AE84" s="14" t="n">
        <v>9324334621</v>
      </c>
    </row>
    <row customHeight="1" ht="20" r="85">
      <c r="A85" s="3" t="inlineStr">
        <is>
          <t>824009204 - Johnston - General Retail</t>
        </is>
      </c>
      <c r="B85" s="14" t="inlineStr">
        <is>
          <t/>
        </is>
      </c>
      <c r="C85" s="14" t="n">
        <v>519950</v>
      </c>
      <c r="D85" s="13">
        <v>45925.0</v>
      </c>
      <c r="E85" s="14" t="inlineStr">
        <is>
          <t>Amanda Yee</t>
        </is>
      </c>
      <c r="F85" s="14" t="inlineStr">
        <is>
          <t>AY 9/19: The POA has been received, and Mifel has approved the draft deed.
AY 9/12: Awaiting to receive the originals of the POA. Awaitin for Mifel's approval.
AY 8/28: POA is in process. Draft of the FAP was prepared and sent for Mifel's review. Cadastral appraisal and CNAP have been received.
AY 8/21: Advance payment was successfully made to the notary. Draft of the Power of Attorney (PoA) has been sent to the borrower for their review and execution.
AY 8/15: Advanced payment to the notary was requested. Working on POA and FAP. Cadastral appraisal has been received.
AY 8/8: Awaiting to receive the payment for the cadastral appraisal and foregin affairs permit.
AY 7/31: Working on the permit request and borrower's POA.
AY 7/23: We have reached out to Mifel to share all the seller and property information and to begin working on the draft of the permit.
AY 7/17: Contact with the notary was initiated. Title search and commercial appraisal have been requested.</t>
        </is>
      </c>
      <c r="G85" s="83"/>
      <c r="H85" s="32" t="inlineStr">
        <is>
          <t>Approved by Legal</t>
        </is>
      </c>
      <c r="I85" s="13">
        <v>45925.0</v>
      </c>
      <c r="J85" s="18" t="inlineStr">
        <is>
          <t>Approved by Legal</t>
        </is>
      </c>
      <c r="K85" s="13" t="inlineStr">
        <is>
          <t/>
        </is>
      </c>
      <c r="L85" s="60" t="inlineStr">
        <is>
          <t>Received (MoXi)</t>
        </is>
      </c>
      <c r="M85" s="13" t="inlineStr">
        <is>
          <t/>
        </is>
      </c>
      <c r="N85" s="20" t="inlineStr">
        <is>
          <t>2015 Updated (MoXi)</t>
        </is>
      </c>
      <c r="O85" s="13" t="inlineStr">
        <is>
          <t/>
        </is>
      </c>
      <c r="P85" s="52" t="inlineStr">
        <is>
          <t>In process</t>
        </is>
      </c>
      <c r="Q85" s="53" t="inlineStr">
        <is>
          <t>ECTC Reviewed</t>
        </is>
      </c>
      <c r="R85" s="13" t="inlineStr">
        <is>
          <t/>
        </is>
      </c>
      <c r="S85" s="74" t="inlineStr">
        <is>
          <t>Working on the permit request</t>
        </is>
      </c>
      <c r="T85" s="24" t="inlineStr">
        <is>
          <t>N/A</t>
        </is>
      </c>
      <c r="U85" s="62" t="inlineStr">
        <is>
          <t>Working on it</t>
        </is>
      </c>
      <c r="V85" s="95" t="inlineStr">
        <is>
          <t>Working on it</t>
        </is>
      </c>
      <c r="W85" s="58" t="inlineStr">
        <is>
          <t>Done</t>
        </is>
      </c>
      <c r="X85" s="14" t="inlineStr">
        <is>
          <t>824009204 - Johnston - General Retail</t>
        </is>
      </c>
      <c r="Y85" s="28" t="inlineStr">
        <is>
          <t>Mifel</t>
        </is>
      </c>
      <c r="Z85" s="29"/>
      <c r="AA85" s="30"/>
      <c r="AB85" s="14" t="inlineStr">
        <is>
          <t>Athene</t>
        </is>
      </c>
      <c r="AC85" s="14" t="inlineStr">
        <is>
          <t/>
        </is>
      </c>
      <c r="AD85" s="31" t="inlineStr">
        <is>
          <t>N/A</t>
        </is>
      </c>
      <c r="AE85" s="14" t="n">
        <v>9545046063</v>
      </c>
    </row>
    <row customHeight="1" ht="20" r="86">
      <c r="A86" s="0" t="inlineStr">
        <is>
          <t/>
        </is>
      </c>
      <c r="B86" s="0" t="inlineStr">
        <is>
          <t/>
        </is>
      </c>
      <c r="C86" s="108" t="str">
        <f>SUM(C48:C85)</f>
      </c>
      <c r="D86" s="108" t="inlineStr">
        <is>
          <t>2025-02-21 to 2025-09-25</t>
        </is>
      </c>
      <c r="E86" s="0" t="inlineStr">
        <is>
          <t/>
        </is>
      </c>
      <c r="F86" s="0" t="inlineStr">
        <is>
          <t/>
        </is>
      </c>
      <c r="G86" s="0" t="inlineStr">
        <is>
          <t/>
        </is>
      </c>
      <c r="H86" s="0" t="inlineStr">
        <is>
          <t/>
        </is>
      </c>
      <c r="I86" s="108" t="inlineStr">
        <is>
          <t>2025-02-24 to 2025-09-25</t>
        </is>
      </c>
      <c r="J86" s="0" t="inlineStr">
        <is>
          <t/>
        </is>
      </c>
      <c r="K86" s="108" t="inlineStr">
        <is>
          <t>2024-11-26 to 2025-02-28</t>
        </is>
      </c>
      <c r="L86" s="0" t="inlineStr">
        <is>
          <t/>
        </is>
      </c>
      <c r="M86" s="108" t="inlineStr">
        <is>
          <t>2025-02-24</t>
        </is>
      </c>
      <c r="N86" s="0" t="inlineStr">
        <is>
          <t/>
        </is>
      </c>
      <c r="O86" s="108" t="inlineStr">
        <is>
          <t>2025-02-20</t>
        </is>
      </c>
      <c r="P86" s="0" t="inlineStr">
        <is>
          <t/>
        </is>
      </c>
      <c r="Q86" s="0" t="inlineStr">
        <is>
          <t/>
        </is>
      </c>
      <c r="R86" s="108" t="inlineStr">
        <is>
          <t>2025-02-20</t>
        </is>
      </c>
      <c r="S86" s="0" t="inlineStr">
        <is>
          <t/>
        </is>
      </c>
      <c r="T86" s="0" t="inlineStr">
        <is>
          <t/>
        </is>
      </c>
      <c r="U86" s="0" t="inlineStr">
        <is>
          <t/>
        </is>
      </c>
      <c r="V86" s="0" t="inlineStr">
        <is>
          <t/>
        </is>
      </c>
      <c r="W86" s="0" t="inlineStr">
        <is>
          <t/>
        </is>
      </c>
      <c r="X86" s="0" t="inlineStr">
        <is>
          <t/>
        </is>
      </c>
      <c r="Y86" s="0" t="inlineStr">
        <is>
          <t/>
        </is>
      </c>
      <c r="Z86" s="0" t="inlineStr">
        <is>
          <t/>
        </is>
      </c>
      <c r="AA86" s="0" t="inlineStr">
        <is>
          <t/>
        </is>
      </c>
      <c r="AB86" s="0" t="inlineStr">
        <is>
          <t/>
        </is>
      </c>
      <c r="AC86" s="0" t="inlineStr">
        <is>
          <t/>
        </is>
      </c>
      <c r="AD86" s="0" t="inlineStr">
        <is>
          <t/>
        </is>
      </c>
    </row>
    <row customHeight="1" ht="40" r="87"/>
    <row customHeight="1" ht="20" r="88">
      <c r="A88" s="119" t="inlineStr">
        <is>
          <t>Cancelled</t>
        </is>
      </c>
    </row>
    <row customHeight="1" ht="20" r="89">
      <c r="A89" s="7" t="inlineStr">
        <is>
          <t>Name</t>
        </is>
      </c>
      <c r="B89" s="6" t="inlineStr">
        <is>
          <t>Subelementos</t>
        </is>
      </c>
      <c r="C89" s="6" t="inlineStr">
        <is>
          <t>Loan Amount</t>
        </is>
      </c>
      <c r="D89" s="6" t="inlineStr">
        <is>
          <t>Est Closing Date</t>
        </is>
      </c>
      <c r="E89" s="6" t="inlineStr">
        <is>
          <t>Owner</t>
        </is>
      </c>
      <c r="F89" s="6" t="inlineStr">
        <is>
          <t>Comments</t>
        </is>
      </c>
      <c r="G89" s="6" t="inlineStr">
        <is>
          <t>Property Documents</t>
        </is>
      </c>
      <c r="H89" s="6" t="inlineStr">
        <is>
          <t>Commercial Appraisal</t>
        </is>
      </c>
      <c r="I89" s="6" t="inlineStr">
        <is>
          <t>Comm Appr Date</t>
        </is>
      </c>
      <c r="J89" s="6" t="inlineStr">
        <is>
          <t>Title Search</t>
        </is>
      </c>
      <c r="K89" s="6" t="inlineStr">
        <is>
          <t>Title Search Date</t>
        </is>
      </c>
      <c r="L89" s="6" t="inlineStr">
        <is>
          <t>Title Commitment</t>
        </is>
      </c>
      <c r="M89" s="6" t="inlineStr">
        <is>
          <t>Tit Com Date</t>
        </is>
      </c>
      <c r="N89" s="6" t="inlineStr">
        <is>
          <t>Notario Quote</t>
        </is>
      </c>
      <c r="O89" s="6" t="inlineStr">
        <is>
          <t>NQ Date</t>
        </is>
      </c>
      <c r="P89" s="6" t="inlineStr">
        <is>
          <t>Notario Project</t>
        </is>
      </c>
      <c r="Q89" s="6" t="inlineStr">
        <is>
          <t>Closing Disclosure</t>
        </is>
      </c>
      <c r="R89" s="6" t="inlineStr">
        <is>
          <t>CD Date</t>
        </is>
      </c>
      <c r="S89" s="6" t="inlineStr">
        <is>
          <t>FAP</t>
        </is>
      </c>
      <c r="T89" s="6" t="inlineStr">
        <is>
          <t>Seller´s Fideicomiso</t>
        </is>
      </c>
      <c r="U89" s="6" t="inlineStr">
        <is>
          <t>Fideicomiso de Garantia</t>
        </is>
      </c>
      <c r="V89" s="6" t="inlineStr">
        <is>
          <t>POA</t>
        </is>
      </c>
      <c r="W89" s="6" t="inlineStr">
        <is>
          <t>Cadastral Appraisal</t>
        </is>
      </c>
      <c r="X89" s="6" t="inlineStr">
        <is>
          <t>Legal Summary</t>
        </is>
      </c>
      <c r="Y89" s="6" t="inlineStr">
        <is>
          <t>Fideicomitente</t>
        </is>
      </c>
      <c r="Z89" s="6" t="inlineStr">
        <is>
          <t>Amortization Table</t>
        </is>
      </c>
      <c r="AA89" s="6" t="inlineStr">
        <is>
          <t>Comm Appr Sharefile</t>
        </is>
      </c>
      <c r="AB89" s="6" t="inlineStr">
        <is>
          <t>Notice of Acknowledgement</t>
        </is>
      </c>
      <c r="AC89" s="6" t="inlineStr">
        <is>
          <t>Certificados</t>
        </is>
      </c>
      <c r="AD89" s="6" t="inlineStr">
        <is>
          <t>Seller Approved by Fiduciary</t>
        </is>
      </c>
      <c r="AE89" s="6" t="inlineStr">
        <is>
          <t>Item ID (auto generated)</t>
        </is>
      </c>
    </row>
    <row customHeight="1" ht="20" r="90">
      <c r="A90" s="3" t="inlineStr">
        <is>
          <t>824008175 - Wolfkiel - General Retail</t>
        </is>
      </c>
      <c r="B90" s="14" t="inlineStr">
        <is>
          <t/>
        </is>
      </c>
      <c r="C90" s="14" t="n">
        <v>487550</v>
      </c>
      <c r="D90" s="13">
        <v>45721.0</v>
      </c>
      <c r="E90" s="14" t="inlineStr">
        <is>
          <t>Beatriz Meléndez</t>
        </is>
      </c>
      <c r="F90" s="14" t="inlineStr">
        <is>
          <t>After several months we received the letter to cancel the Santander mortgage that expires on March 3. I asked the notary to update the documents. Waiting to receive a response from the Santander Trustee. Sagrario requested Banco Autofin to release the project. I requested the HoA letter from the condominium manager.  02/27 Today I received a call from Mr. Wolfkiel and he informed me that he will no longer continue with the MoXi process. He has already paid off the Santander loan and he is going to see the process directly with the Cozumel Branch.</t>
        </is>
      </c>
      <c r="G90" s="51" t="inlineStr">
        <is>
          <t>All Received</t>
        </is>
      </c>
      <c r="H90" s="32" t="inlineStr">
        <is>
          <t>Approved by Legal</t>
        </is>
      </c>
      <c r="I90" s="13">
        <v>45567.0</v>
      </c>
      <c r="J90" s="18" t="inlineStr">
        <is>
          <t>Approved by Legal</t>
        </is>
      </c>
      <c r="K90" s="13">
        <v>45527.0</v>
      </c>
      <c r="L90" s="100" t="inlineStr">
        <is>
          <t>Approved by Legal</t>
        </is>
      </c>
      <c r="M90" s="13">
        <v>45567.0</v>
      </c>
      <c r="N90" s="20" t="inlineStr">
        <is>
          <t>2015 Updated (MoXi)</t>
        </is>
      </c>
      <c r="O90" s="13" t="inlineStr">
        <is>
          <t/>
        </is>
      </c>
      <c r="P90" s="61" t="inlineStr">
        <is>
          <t>Approved by MoXi Attorney</t>
        </is>
      </c>
      <c r="Q90" s="53" t="inlineStr">
        <is>
          <t>ECTC Reviewed</t>
        </is>
      </c>
      <c r="R90" s="13" t="inlineStr">
        <is>
          <t/>
        </is>
      </c>
      <c r="S90" s="68" t="inlineStr">
        <is>
          <t>Received</t>
        </is>
      </c>
      <c r="T90" s="55" t="inlineStr">
        <is>
          <t>Done</t>
        </is>
      </c>
      <c r="U90" s="56" t="inlineStr">
        <is>
          <t>Done</t>
        </is>
      </c>
      <c r="V90" s="57" t="inlineStr">
        <is>
          <t>Done</t>
        </is>
      </c>
      <c r="W90" s="58" t="inlineStr">
        <is>
          <t>Done</t>
        </is>
      </c>
      <c r="X90" s="14" t="inlineStr">
        <is>
          <t/>
        </is>
      </c>
      <c r="Y90" s="99" t="inlineStr">
        <is>
          <t/>
        </is>
      </c>
      <c r="Z90" s="29"/>
      <c r="AA90" s="30"/>
      <c r="AB90" s="14" t="inlineStr">
        <is>
          <t/>
        </is>
      </c>
      <c r="AC90" s="14" t="inlineStr">
        <is>
          <t/>
        </is>
      </c>
      <c r="AD90" s="31" t="inlineStr">
        <is>
          <t>N/A</t>
        </is>
      </c>
      <c r="AE90" s="14" t="n">
        <v>8530463606</v>
      </c>
    </row>
    <row customHeight="1" ht="20" r="91">
      <c r="A91" s="3" t="inlineStr">
        <is>
          <t>824008827 - Croft - General Retail</t>
        </is>
      </c>
      <c r="B91" s="14" t="inlineStr">
        <is>
          <t/>
        </is>
      </c>
      <c r="C91" s="14" t="n">
        <v>276400</v>
      </c>
      <c r="D91" s="13">
        <v>45728.0</v>
      </c>
      <c r="E91" s="14" t="inlineStr">
        <is>
          <t>Valeria Méndez Villanueva</t>
        </is>
      </c>
      <c r="F91" s="14" t="inlineStr">
        <is>
          <t/>
        </is>
      </c>
      <c r="G91" s="83"/>
      <c r="H91" s="43" t="inlineStr">
        <is>
          <t>Stuck</t>
        </is>
      </c>
      <c r="I91" s="13" t="inlineStr">
        <is>
          <t/>
        </is>
      </c>
      <c r="J91" s="33" t="inlineStr">
        <is>
          <t>Received (MoXi)</t>
        </is>
      </c>
      <c r="K91" s="13" t="inlineStr">
        <is>
          <t/>
        </is>
      </c>
      <c r="L91" s="78" t="inlineStr">
        <is>
          <t/>
        </is>
      </c>
      <c r="M91" s="13" t="inlineStr">
        <is>
          <t/>
        </is>
      </c>
      <c r="N91" s="97"/>
      <c r="O91" s="13" t="inlineStr">
        <is>
          <t/>
        </is>
      </c>
      <c r="P91" s="93" t="inlineStr">
        <is>
          <t/>
        </is>
      </c>
      <c r="Q91" s="22"/>
      <c r="R91" s="13" t="inlineStr">
        <is>
          <t/>
        </is>
      </c>
      <c r="S91" s="74" t="inlineStr">
        <is>
          <t>Working on the permit request</t>
        </is>
      </c>
      <c r="T91" s="94"/>
      <c r="U91" s="80"/>
      <c r="V91" s="98"/>
      <c r="W91" s="27" t="inlineStr">
        <is>
          <t>Payment requested</t>
        </is>
      </c>
      <c r="X91" s="14" t="inlineStr">
        <is>
          <t/>
        </is>
      </c>
      <c r="Y91" s="99" t="inlineStr">
        <is>
          <t/>
        </is>
      </c>
      <c r="Z91" s="29"/>
      <c r="AA91" s="30"/>
      <c r="AB91" s="14" t="inlineStr">
        <is>
          <t/>
        </is>
      </c>
      <c r="AC91" s="14" t="inlineStr">
        <is>
          <t/>
        </is>
      </c>
      <c r="AD91" s="31" t="inlineStr">
        <is>
          <t>N/A</t>
        </is>
      </c>
      <c r="AE91" s="14" t="n">
        <v>8539003610</v>
      </c>
    </row>
    <row customHeight="1" ht="20" r="92">
      <c r="A92" s="3" t="inlineStr">
        <is>
          <t>824008664 - McDaniel - General Retail</t>
        </is>
      </c>
      <c r="B92" s="14" t="inlineStr">
        <is>
          <t/>
        </is>
      </c>
      <c r="C92" s="14" t="n">
        <v>261900</v>
      </c>
      <c r="D92" s="13">
        <v>45786.0</v>
      </c>
      <c r="E92" s="14" t="inlineStr">
        <is>
          <t>Beatriz Meléndez</t>
        </is>
      </c>
      <c r="F92" s="14" t="inlineStr">
        <is>
          <t>05/08 BM Sagrario received comments on the deed project from Banco Autofin and BIM, including the changes to Originadora. The buyer's and seller's documents need to be updated. We are waiting to receive the certificate of no lien and the property tax certificate from the notary. However, The clients sent an email indicating that they will not move forward with the loan.
04/24 BM - I received the certificate of no water debt. Sagrario sent the project for review.
04/10 BM I requested payment from Servando to request the certificates of non-debt of water and non-debt of public works. Sagrario contacted the BIM Trustee to request the possibility of modifying the letter of instruction with ORIGINADORA. I am waiting for Sagrario's instructions to follow up with the notary. I had a call with Juan Carlos Pimentel and he told me that the seller will cancel the sale if it is not closed in April.
03/28 waiting to receive the translations of the Baja Dream documents. I received the quote for the proof of no water debt and no public works debt. I sent Servando the payment request, to pay the manager's fees and so that he can initiate the processing of the documents. 
3/28 MO client said they were going to retain council to schedule a call   MA y CC please do follow up onthe call.   Notaria has not respnded that BIM change all our legal clauses in the projects
03/20 Mr. McDaniel sent the apostilled documents to the notary's office. The notary's office has already confirmed the receipt of the documents. Ernesto Elías will be in charge of translating the documents. Waiting to receive permit from the SRE. The seller sent the proof of no water debt. Waiting to receive the no lien certificate from the notary's office, as well as the report of non-debt of the property tax. The notary sent the draft deed to the BIM trustee area</t>
        </is>
      </c>
      <c r="G92" s="51" t="inlineStr">
        <is>
          <t>All Received</t>
        </is>
      </c>
      <c r="H92" s="32" t="inlineStr">
        <is>
          <t>Approved by Legal</t>
        </is>
      </c>
      <c r="I92" s="13">
        <v>45709.0</v>
      </c>
      <c r="J92" s="18" t="inlineStr">
        <is>
          <t>Approved by Legal</t>
        </is>
      </c>
      <c r="K92" s="13" t="inlineStr">
        <is>
          <t/>
        </is>
      </c>
      <c r="L92" s="78" t="inlineStr">
        <is>
          <t/>
        </is>
      </c>
      <c r="M92" s="13" t="inlineStr">
        <is>
          <t/>
        </is>
      </c>
      <c r="N92" s="73" t="inlineStr">
        <is>
          <t>Requested</t>
        </is>
      </c>
      <c r="O92" s="13" t="inlineStr">
        <is>
          <t/>
        </is>
      </c>
      <c r="P92" s="67" t="inlineStr">
        <is>
          <t>Ready to review</t>
        </is>
      </c>
      <c r="Q92" s="22" t="inlineStr">
        <is>
          <t/>
        </is>
      </c>
      <c r="R92" s="13" t="inlineStr">
        <is>
          <t/>
        </is>
      </c>
      <c r="S92" s="68" t="inlineStr">
        <is>
          <t>Received</t>
        </is>
      </c>
      <c r="T92" s="55" t="inlineStr">
        <is>
          <t>Done</t>
        </is>
      </c>
      <c r="U92" s="56" t="inlineStr">
        <is>
          <t>Done</t>
        </is>
      </c>
      <c r="V92" s="57" t="inlineStr">
        <is>
          <t>Done</t>
        </is>
      </c>
      <c r="W92" s="58" t="inlineStr">
        <is>
          <t>Done</t>
        </is>
      </c>
      <c r="X92" s="14" t="inlineStr">
        <is>
          <t/>
        </is>
      </c>
      <c r="Y92" s="59" t="inlineStr">
        <is>
          <t>Autofin</t>
        </is>
      </c>
      <c r="Z92" s="29"/>
      <c r="AA92" s="30"/>
      <c r="AB92" s="14" t="inlineStr">
        <is>
          <t>Athene</t>
        </is>
      </c>
      <c r="AC92" s="14" t="inlineStr">
        <is>
          <t/>
        </is>
      </c>
      <c r="AD92" s="31" t="inlineStr">
        <is>
          <t>N/A</t>
        </is>
      </c>
      <c r="AE92" s="14" t="n">
        <v>8539052342</v>
      </c>
    </row>
    <row customHeight="1" ht="20" r="93">
      <c r="A93" s="3" t="inlineStr">
        <is>
          <t>824008729 - Corcoran - General Retail</t>
        </is>
      </c>
      <c r="B93" s="14" t="inlineStr">
        <is>
          <t/>
        </is>
      </c>
      <c r="C93" s="14" t="n">
        <v>513000</v>
      </c>
      <c r="D93" s="13">
        <v>45792.0</v>
      </c>
      <c r="E93" s="14" t="inlineStr">
        <is>
          <t>Beatriz Meléndez</t>
        </is>
      </c>
      <c r="F93" s="14" t="inlineStr">
        <is>
          <t>03/04 BM The borrower sent an email informing us he will not move forward with the transaction
03/28 I have not received any response from Michelle Berra. I received an email from Mr. Corcoran, where he informed me that he has not been able to contact her either. I asked him to send me another way to contact the sellers. I am waiting for your reply. 
03/20 Still waiting to receive information on the mortgage reported on the property. I have not received a response from Michelle Berra.
03/12 I'm still waiting for the mortgage information reported in the Title Search. So far, Michelle Berra hasn't given me any information about it. The client also hasn't made the advance payment to the notary and probably won't until everything regarding the mortgage reported in the Title Search is clarified.
I requested the client the advance payment for the notary. However, the client does not want to make any payments until the commercial appraisal is sent. Sagrario told me that she will receive the final appraisal on Monday. I also asked Monica Berra to confirm the information of the person who will represent the client at the closing to prepare the PoA draft.  02/27 I received the commercial appraisal and sent it to the client, along with the KYC of Autofin bank and the draft of the PoA. We receive the Title Search and the property is mortgaged. I am going to ask the seller for the information of the mortgage that the property has.</t>
        </is>
      </c>
      <c r="G93" s="51" t="inlineStr">
        <is>
          <t>All Received</t>
        </is>
      </c>
      <c r="H93" s="32" t="inlineStr">
        <is>
          <t>Approved by Legal</t>
        </is>
      </c>
      <c r="I93" s="13">
        <v>45716.0</v>
      </c>
      <c r="J93" s="18" t="inlineStr">
        <is>
          <t>Approved by Legal</t>
        </is>
      </c>
      <c r="K93" s="13">
        <v>45715.0</v>
      </c>
      <c r="L93" s="60" t="inlineStr">
        <is>
          <t>Received (MoXi)</t>
        </is>
      </c>
      <c r="M93" s="13" t="inlineStr">
        <is>
          <t/>
        </is>
      </c>
      <c r="N93" s="20" t="inlineStr">
        <is>
          <t>2015 Updated (MoXi)</t>
        </is>
      </c>
      <c r="O93" s="13" t="inlineStr">
        <is>
          <t/>
        </is>
      </c>
      <c r="P93" s="21" t="inlineStr">
        <is>
          <t>Requested</t>
        </is>
      </c>
      <c r="Q93" s="53" t="inlineStr">
        <is>
          <t>ECTC Reviewed</t>
        </is>
      </c>
      <c r="R93" s="13" t="inlineStr">
        <is>
          <t/>
        </is>
      </c>
      <c r="S93" s="107" t="inlineStr">
        <is>
          <t>Requested</t>
        </is>
      </c>
      <c r="T93" s="75" t="inlineStr">
        <is>
          <t>Working on Cancelation</t>
        </is>
      </c>
      <c r="U93" s="103" t="inlineStr">
        <is>
          <t>Requested</t>
        </is>
      </c>
      <c r="V93" s="95" t="inlineStr">
        <is>
          <t>Working on it</t>
        </is>
      </c>
      <c r="W93" s="82" t="inlineStr">
        <is>
          <t>Working on it</t>
        </is>
      </c>
      <c r="X93" s="14" t="inlineStr">
        <is>
          <t/>
        </is>
      </c>
      <c r="Y93" s="59" t="inlineStr">
        <is>
          <t>Autofin</t>
        </is>
      </c>
      <c r="Z93" s="29"/>
      <c r="AA93" s="30"/>
      <c r="AB93" s="14" t="inlineStr">
        <is>
          <t>Athene</t>
        </is>
      </c>
      <c r="AC93" s="14" t="inlineStr">
        <is>
          <t/>
        </is>
      </c>
      <c r="AD93" s="31" t="inlineStr">
        <is>
          <t>N/A</t>
        </is>
      </c>
      <c r="AE93" s="14" t="n">
        <v>8539015418</v>
      </c>
    </row>
    <row customHeight="1" ht="20" r="94">
      <c r="A94" s="3" t="inlineStr">
        <is>
          <t>0824008937 - Wood - General Retail</t>
        </is>
      </c>
      <c r="B94" s="14" t="inlineStr">
        <is>
          <t/>
        </is>
      </c>
      <c r="C94" s="14" t="n">
        <v>295000</v>
      </c>
      <c r="D94" s="13">
        <v>45795.0</v>
      </c>
      <c r="E94" s="14" t="inlineStr">
        <is>
          <t>lreyes@portilla.com.mx</t>
        </is>
      </c>
      <c r="F94" s="14" t="inlineStr">
        <is>
          <t>We sent the welcome email to the borrowers.
We also sent an email to the notary, to confirm their commitment to work with us.</t>
        </is>
      </c>
      <c r="G94" s="42" t="inlineStr">
        <is>
          <t>Working on it</t>
        </is>
      </c>
      <c r="H94" s="84" t="inlineStr">
        <is>
          <t>Not ready to requested</t>
        </is>
      </c>
      <c r="I94" s="13" t="inlineStr">
        <is>
          <t/>
        </is>
      </c>
      <c r="J94" s="85" t="inlineStr">
        <is>
          <t>Not ready to requested</t>
        </is>
      </c>
      <c r="K94" s="13" t="inlineStr">
        <is>
          <t/>
        </is>
      </c>
      <c r="L94" s="34" t="inlineStr">
        <is>
          <t>Not ready to request</t>
        </is>
      </c>
      <c r="M94" s="13" t="inlineStr">
        <is>
          <t/>
        </is>
      </c>
      <c r="N94" s="46" t="inlineStr">
        <is>
          <t>Stuck</t>
        </is>
      </c>
      <c r="O94" s="13" t="inlineStr">
        <is>
          <t/>
        </is>
      </c>
      <c r="P94" s="36" t="inlineStr">
        <is>
          <t>Not ready to requested</t>
        </is>
      </c>
      <c r="Q94" s="22"/>
      <c r="R94" s="13" t="inlineStr">
        <is>
          <t/>
        </is>
      </c>
      <c r="S94" s="106" t="inlineStr">
        <is>
          <t>Gathering documents to request</t>
        </is>
      </c>
      <c r="T94" s="39" t="inlineStr">
        <is>
          <t>Not ready to request</t>
        </is>
      </c>
      <c r="U94" s="40" t="inlineStr">
        <is>
          <t>Not ready to request</t>
        </is>
      </c>
      <c r="V94" s="49" t="inlineStr">
        <is>
          <t>Stuck</t>
        </is>
      </c>
      <c r="W94" s="41" t="inlineStr">
        <is>
          <t>Not ready to requested</t>
        </is>
      </c>
      <c r="X94" s="14" t="inlineStr">
        <is>
          <t/>
        </is>
      </c>
      <c r="Y94" s="99" t="inlineStr">
        <is>
          <t/>
        </is>
      </c>
      <c r="Z94" s="29"/>
      <c r="AA94" s="30"/>
      <c r="AB94" s="14" t="inlineStr">
        <is>
          <t>Athene</t>
        </is>
      </c>
      <c r="AC94" s="14" t="inlineStr">
        <is>
          <t/>
        </is>
      </c>
      <c r="AD94" s="31" t="inlineStr">
        <is>
          <t>N/A</t>
        </is>
      </c>
      <c r="AE94" s="14" t="n">
        <v>8639438994</v>
      </c>
    </row>
    <row customHeight="1" ht="20" r="95">
      <c r="A95" s="3" t="inlineStr">
        <is>
          <t>84008654 - Alvarez - General Retail</t>
        </is>
      </c>
      <c r="B95" s="14" t="inlineStr">
        <is>
          <t/>
        </is>
      </c>
      <c r="C95" s="14" t="n">
        <v>220300</v>
      </c>
      <c r="D95" s="13">
        <v>45806.0</v>
      </c>
      <c r="E95" s="14" t="inlineStr">
        <is>
          <t>MARIANA PINEDA PASQUEL</t>
        </is>
      </c>
      <c r="F95" s="14" t="inlineStr">
        <is>
          <t>MP 05/09/2025 The file has been cancelled.</t>
        </is>
      </c>
      <c r="G95" s="16" t="inlineStr">
        <is>
          <t>Stuck</t>
        </is>
      </c>
      <c r="H95" s="116" t="inlineStr">
        <is>
          <t>Awaiting Final Report (MoXi)</t>
        </is>
      </c>
      <c r="I95" s="13" t="inlineStr">
        <is>
          <t/>
        </is>
      </c>
      <c r="J95" s="18" t="inlineStr">
        <is>
          <t>Approved by Legal</t>
        </is>
      </c>
      <c r="K95" s="13" t="inlineStr">
        <is>
          <t/>
        </is>
      </c>
      <c r="L95" s="100" t="inlineStr">
        <is>
          <t>Approved by Legal</t>
        </is>
      </c>
      <c r="M95" s="13" t="inlineStr">
        <is>
          <t/>
        </is>
      </c>
      <c r="N95" s="46" t="inlineStr">
        <is>
          <t>Stuck</t>
        </is>
      </c>
      <c r="O95" s="13" t="inlineStr">
        <is>
          <t/>
        </is>
      </c>
      <c r="P95" s="47" t="inlineStr">
        <is>
          <t>Stuck</t>
        </is>
      </c>
      <c r="Q95" s="87" t="inlineStr">
        <is>
          <t>Stuck</t>
        </is>
      </c>
      <c r="R95" s="13" t="inlineStr">
        <is>
          <t/>
        </is>
      </c>
      <c r="S95" s="107" t="inlineStr">
        <is>
          <t>Requested</t>
        </is>
      </c>
      <c r="T95" s="24" t="inlineStr">
        <is>
          <t>N/A</t>
        </is>
      </c>
      <c r="U95" s="80"/>
      <c r="V95" s="57" t="inlineStr">
        <is>
          <t>Done</t>
        </is>
      </c>
      <c r="W95" s="27" t="inlineStr">
        <is>
          <t>Payment requested</t>
        </is>
      </c>
      <c r="X95" s="14" t="inlineStr">
        <is>
          <t/>
        </is>
      </c>
      <c r="Y95" s="59" t="inlineStr">
        <is>
          <t>Autofin</t>
        </is>
      </c>
      <c r="Z95" s="29"/>
      <c r="AA95" s="30"/>
      <c r="AB95" s="14" t="inlineStr">
        <is>
          <t>Athene</t>
        </is>
      </c>
      <c r="AC95" s="14" t="inlineStr">
        <is>
          <t/>
        </is>
      </c>
      <c r="AD95" s="31" t="inlineStr">
        <is>
          <t>N/A</t>
        </is>
      </c>
      <c r="AE95" s="14" t="n">
        <v>8539046324</v>
      </c>
    </row>
    <row customHeight="1" ht="20" r="96">
      <c r="A96" s="3" t="inlineStr">
        <is>
          <t>84008670 - Maidat - General Retail</t>
        </is>
      </c>
      <c r="B96" s="14" t="inlineStr">
        <is>
          <t/>
        </is>
      </c>
      <c r="C96" s="14" t="n">
        <v>269700</v>
      </c>
      <c r="D96" s="13">
        <v>45838.0</v>
      </c>
      <c r="E96" s="14" t="inlineStr">
        <is>
          <t>Valeria Méndez Villanueva</t>
        </is>
      </c>
      <c r="F96" s="14" t="inlineStr">
        <is>
          <t>Property is changing..  this file will  be sent back to UW until they find the new property</t>
        </is>
      </c>
      <c r="G96" s="83"/>
      <c r="H96" s="96" t="inlineStr">
        <is>
          <t/>
        </is>
      </c>
      <c r="I96" s="13" t="inlineStr">
        <is>
          <t/>
        </is>
      </c>
      <c r="J96" s="104" t="inlineStr">
        <is>
          <t/>
        </is>
      </c>
      <c r="K96" s="13" t="inlineStr">
        <is>
          <t/>
        </is>
      </c>
      <c r="L96" s="78" t="inlineStr">
        <is>
          <t/>
        </is>
      </c>
      <c r="M96" s="13" t="inlineStr">
        <is>
          <t/>
        </is>
      </c>
      <c r="N96" s="97"/>
      <c r="O96" s="13" t="inlineStr">
        <is>
          <t/>
        </is>
      </c>
      <c r="P96" s="93" t="inlineStr">
        <is>
          <t/>
        </is>
      </c>
      <c r="Q96" s="22"/>
      <c r="R96" s="13" t="inlineStr">
        <is>
          <t/>
        </is>
      </c>
      <c r="S96" s="74" t="inlineStr">
        <is>
          <t>Working on the permit request</t>
        </is>
      </c>
      <c r="T96" s="94"/>
      <c r="U96" s="80"/>
      <c r="V96" s="98"/>
      <c r="W96" s="27" t="inlineStr">
        <is>
          <t>Payment requested</t>
        </is>
      </c>
      <c r="X96" s="14" t="inlineStr">
        <is>
          <t/>
        </is>
      </c>
      <c r="Y96" s="99" t="inlineStr">
        <is>
          <t/>
        </is>
      </c>
      <c r="Z96" s="29"/>
      <c r="AA96" s="30"/>
      <c r="AB96" s="14" t="inlineStr">
        <is>
          <t/>
        </is>
      </c>
      <c r="AC96" s="14" t="inlineStr">
        <is>
          <t/>
        </is>
      </c>
      <c r="AD96" s="31" t="inlineStr">
        <is>
          <t>N/A</t>
        </is>
      </c>
      <c r="AE96" s="14" t="n">
        <v>8539071455</v>
      </c>
    </row>
    <row customHeight="1" ht="20" r="97">
      <c r="A97" s="3" t="inlineStr">
        <is>
          <t>8240008348 - Ejde - General Retail</t>
        </is>
      </c>
      <c r="B97" s="14" t="inlineStr">
        <is>
          <t/>
        </is>
      </c>
      <c r="C97" s="14" t="n">
        <v>300000</v>
      </c>
      <c r="D97" s="13">
        <v>45898.0</v>
      </c>
      <c r="E97" s="14" t="inlineStr">
        <is>
          <t>MARIANA PINEDA PASQUEL</t>
        </is>
      </c>
      <c r="F97" s="14" t="inlineStr">
        <is>
          <t>5/12/2025 Meli, ya hable con el desarrollador y el régimen calculan que estaría listo en septiembre 2025
4/14 MO  Parece que el cliente dijo que el regimen estaria en Julio. Por favor veridicar con el desarrollador si esto es verdad para poder mover la fecha
The developer expects to receive the property condominium regime in April.</t>
        </is>
      </c>
      <c r="G97" s="16" t="inlineStr">
        <is>
          <t>Stuck</t>
        </is>
      </c>
      <c r="H97" s="43" t="inlineStr">
        <is>
          <t>Stuck</t>
        </is>
      </c>
      <c r="I97" s="13" t="inlineStr">
        <is>
          <t/>
        </is>
      </c>
      <c r="J97" s="44" t="inlineStr">
        <is>
          <t>Stuck</t>
        </is>
      </c>
      <c r="K97" s="13" t="inlineStr">
        <is>
          <t/>
        </is>
      </c>
      <c r="L97" s="65" t="inlineStr">
        <is>
          <t>Stuck</t>
        </is>
      </c>
      <c r="M97" s="13" t="inlineStr">
        <is>
          <t/>
        </is>
      </c>
      <c r="N97" s="46" t="inlineStr">
        <is>
          <t>Stuck</t>
        </is>
      </c>
      <c r="O97" s="13" t="inlineStr">
        <is>
          <t/>
        </is>
      </c>
      <c r="P97" s="47" t="inlineStr">
        <is>
          <t>Stuck</t>
        </is>
      </c>
      <c r="Q97" s="87" t="inlineStr">
        <is>
          <t>Stuck</t>
        </is>
      </c>
      <c r="R97" s="13" t="inlineStr">
        <is>
          <t/>
        </is>
      </c>
      <c r="S97" s="23" t="inlineStr">
        <is>
          <t>Stuck</t>
        </is>
      </c>
      <c r="T97" s="48" t="inlineStr">
        <is>
          <t>Stuck</t>
        </is>
      </c>
      <c r="U97" s="25" t="inlineStr">
        <is>
          <t>Stuck</t>
        </is>
      </c>
      <c r="V97" s="49" t="inlineStr">
        <is>
          <t>Stuck</t>
        </is>
      </c>
      <c r="W97" s="66" t="inlineStr">
        <is>
          <t>Stuck</t>
        </is>
      </c>
      <c r="X97" s="14" t="inlineStr">
        <is>
          <t/>
        </is>
      </c>
      <c r="Y97" s="99" t="inlineStr">
        <is>
          <t/>
        </is>
      </c>
      <c r="Z97" s="29"/>
      <c r="AA97" s="30"/>
      <c r="AB97" s="14" t="inlineStr">
        <is>
          <t/>
        </is>
      </c>
      <c r="AC97" s="14" t="inlineStr">
        <is>
          <t/>
        </is>
      </c>
      <c r="AD97" s="31" t="inlineStr">
        <is>
          <t>N/A</t>
        </is>
      </c>
      <c r="AE97" s="14" t="n">
        <v>8539073230</v>
      </c>
    </row>
    <row customHeight="1" ht="20" r="98">
      <c r="A98" s="3" t="inlineStr">
        <is>
          <t>824008783 - Henry - Samsara</t>
        </is>
      </c>
      <c r="B98" s="14" t="inlineStr">
        <is>
          <t/>
        </is>
      </c>
      <c r="C98" s="14" t="n">
        <v>139100</v>
      </c>
      <c r="D98" s="13" t="inlineStr">
        <is>
          <t/>
        </is>
      </c>
      <c r="E98" s="14" t="inlineStr">
        <is>
          <t>Beatriz Meléndez</t>
        </is>
      </c>
      <c r="F98" s="14" t="inlineStr">
        <is>
          <t>We were informed by Linda that the file will not move forward.
It is a new file for The Village development. I have already contacted the client. 02/27 I am working on the application for the SRE permit and the KYC forms.
Tower 3rd, ready to order services</t>
        </is>
      </c>
      <c r="G98" s="42" t="inlineStr">
        <is>
          <t>Working on it</t>
        </is>
      </c>
      <c r="H98" s="120" t="inlineStr">
        <is>
          <t>Ready to request</t>
        </is>
      </c>
      <c r="I98" s="13" t="inlineStr">
        <is>
          <t/>
        </is>
      </c>
      <c r="J98" s="121" t="inlineStr">
        <is>
          <t>Ready to Request</t>
        </is>
      </c>
      <c r="K98" s="13" t="inlineStr">
        <is>
          <t/>
        </is>
      </c>
      <c r="L98" s="78" t="inlineStr">
        <is>
          <t/>
        </is>
      </c>
      <c r="M98" s="13" t="inlineStr">
        <is>
          <t/>
        </is>
      </c>
      <c r="N98" s="97" t="inlineStr">
        <is>
          <t/>
        </is>
      </c>
      <c r="O98" s="13" t="inlineStr">
        <is>
          <t/>
        </is>
      </c>
      <c r="P98" s="93" t="inlineStr">
        <is>
          <t/>
        </is>
      </c>
      <c r="Q98" s="22" t="inlineStr">
        <is>
          <t/>
        </is>
      </c>
      <c r="R98" s="13" t="inlineStr">
        <is>
          <t/>
        </is>
      </c>
      <c r="S98" s="54" t="inlineStr">
        <is>
          <t>In process</t>
        </is>
      </c>
      <c r="T98" s="94"/>
      <c r="U98" s="80"/>
      <c r="V98" s="98"/>
      <c r="W98" s="27" t="inlineStr">
        <is>
          <t>Payment requested</t>
        </is>
      </c>
      <c r="X98" s="14" t="inlineStr">
        <is>
          <t/>
        </is>
      </c>
      <c r="Y98" s="99" t="inlineStr">
        <is>
          <t/>
        </is>
      </c>
      <c r="Z98" s="29"/>
      <c r="AA98" s="30"/>
      <c r="AB98" s="14" t="inlineStr">
        <is>
          <t/>
        </is>
      </c>
      <c r="AC98" s="14" t="inlineStr">
        <is>
          <t/>
        </is>
      </c>
      <c r="AD98" s="31" t="inlineStr">
        <is>
          <t>N/A</t>
        </is>
      </c>
      <c r="AE98" s="14" t="n">
        <v>8539013823</v>
      </c>
    </row>
    <row customHeight="1" ht="20" r="99">
      <c r="A99" s="3" t="inlineStr">
        <is>
          <t>824008879 - David Glantz - General Retail</t>
        </is>
      </c>
      <c r="B99" s="14" t="inlineStr">
        <is>
          <t/>
        </is>
      </c>
      <c r="C99" s="14" t="n">
        <v>450000</v>
      </c>
      <c r="D99" s="13">
        <v>45838.0</v>
      </c>
      <c r="E99" s="14" t="inlineStr">
        <is>
          <t>Beatriz Meléndez</t>
        </is>
      </c>
      <c r="F99" s="14" t="inlineStr">
        <is>
          <t>05/08 BM - I received an email from the clients, in which they informed me that after reviewing the documents I sent them with their lawyer, they decided not to continue with the process.
04/24 BM - I sent follow-up email to the client, but he wrote back saying they had a family tragedy. I will contact him next week.
04/10 BM I sent a follow-up email to the Borrowers' lawyer, to find out if they have already reviewed the templates I sent them and to confirm if they are going to move foward. I have not reveive a reply
04/03 BM 
The client responded to my email and mentioned that he wasn't convinced by MoXi's legal structure. A call will be scheduled with the clients to clarify any concerns and confirm whether they will move forward.</t>
        </is>
      </c>
      <c r="G99" s="77" t="inlineStr">
        <is>
          <t>Requested</t>
        </is>
      </c>
      <c r="H99" s="84" t="inlineStr">
        <is>
          <t>Not ready to requested</t>
        </is>
      </c>
      <c r="I99" s="13" t="inlineStr">
        <is>
          <t/>
        </is>
      </c>
      <c r="J99" s="85" t="inlineStr">
        <is>
          <t>Not ready to requested</t>
        </is>
      </c>
      <c r="K99" s="13" t="inlineStr">
        <is>
          <t/>
        </is>
      </c>
      <c r="L99" s="34" t="inlineStr">
        <is>
          <t>Not ready to request</t>
        </is>
      </c>
      <c r="M99" s="13" t="inlineStr">
        <is>
          <t/>
        </is>
      </c>
      <c r="N99" s="35" t="inlineStr">
        <is>
          <t>Not ready to request</t>
        </is>
      </c>
      <c r="O99" s="13" t="inlineStr">
        <is>
          <t/>
        </is>
      </c>
      <c r="P99" s="36" t="inlineStr">
        <is>
          <t>Not ready to requested</t>
        </is>
      </c>
      <c r="Q99" s="37" t="inlineStr">
        <is>
          <t>Not Ready to Review</t>
        </is>
      </c>
      <c r="R99" s="13" t="inlineStr">
        <is>
          <t/>
        </is>
      </c>
      <c r="S99" s="38" t="inlineStr">
        <is>
          <t>Not ready to request it</t>
        </is>
      </c>
      <c r="T99" s="39" t="inlineStr">
        <is>
          <t>Not ready to request</t>
        </is>
      </c>
      <c r="U99" s="40" t="inlineStr">
        <is>
          <t>Not ready to request</t>
        </is>
      </c>
      <c r="V99" s="81" t="inlineStr">
        <is>
          <t>Not ready to request it</t>
        </is>
      </c>
      <c r="W99" s="41" t="inlineStr">
        <is>
          <t>Not ready to requested</t>
        </is>
      </c>
      <c r="X99" s="14" t="inlineStr">
        <is>
          <t>824008879 - David Glantz - General Retail</t>
        </is>
      </c>
      <c r="Y99" s="122" t="inlineStr">
        <is>
          <t>Bajío</t>
        </is>
      </c>
      <c r="Z99" s="29"/>
      <c r="AA99" s="30"/>
      <c r="AB99" s="14" t="inlineStr">
        <is>
          <t>Athene</t>
        </is>
      </c>
      <c r="AC99" s="14" t="inlineStr">
        <is>
          <t/>
        </is>
      </c>
      <c r="AD99" s="31" t="inlineStr">
        <is>
          <t>N/A</t>
        </is>
      </c>
      <c r="AE99" s="14" t="n">
        <v>8807289532</v>
      </c>
    </row>
    <row customHeight="1" ht="20" r="100">
      <c r="A100" s="3" t="inlineStr">
        <is>
          <t>0824008920 - Blakemore - General Retail</t>
        </is>
      </c>
      <c r="B100" s="14" t="inlineStr">
        <is>
          <t/>
        </is>
      </c>
      <c r="C100" s="14" t="n">
        <v>1107000</v>
      </c>
      <c r="D100" s="13">
        <v>45821.0</v>
      </c>
      <c r="E100" s="14" t="inlineStr">
        <is>
          <t>Amanda Yee</t>
        </is>
      </c>
      <c r="F100" s="14" t="inlineStr">
        <is>
          <t>AY 5/30: I received a communication from the borrower's attorney informing that the borrower is cancelled his financing application.
AY 5/23: Awaiting draft deeds and technical documents. 
AY 5/15: File seems to move slow. Awaing for technical documents and draft deed. Permit has been requested.
AY 9/5: Awaiting for draft deed and CLG with preventive notice. Working on the permit request.
AY 5/2: Awaiting to receive the draft deed and technical documents. Drafts of POA, permit, instruction letter were sent to the borrower's POA; awaiting for her response.
AY 04/24: Awaiting confirmation regarding if the borrower will move forward with the results of the commercial apprasail. Draft of the POA, permit, instruction letter were prepared and sent to the borrower's attorney.
A call will be held with the borrower to inform him about the discrepancy of the property surface; drafts of FAP, POA and instruction letter to BBVA have been sent for Sagrario´s review.
AY 04/03: Working on the draft of the POA. Awaiting confirmation regarding the discrepancy on the property surface.
AY 27.03: Notary quote has been received. Working on the draft of POA and on the draft of certificate of manager of the LLC. Cadastral Appraisal has been requested.</t>
        </is>
      </c>
      <c r="G100" s="16" t="inlineStr">
        <is>
          <t>Stuck</t>
        </is>
      </c>
      <c r="H100" s="32" t="inlineStr">
        <is>
          <t>Approved by Legal</t>
        </is>
      </c>
      <c r="I100" s="13">
        <v>45757.0</v>
      </c>
      <c r="J100" s="18" t="inlineStr">
        <is>
          <t>Approved by Legal</t>
        </is>
      </c>
      <c r="K100" s="13" t="inlineStr">
        <is>
          <t/>
        </is>
      </c>
      <c r="L100" s="100" t="inlineStr">
        <is>
          <t>Approved by Legal</t>
        </is>
      </c>
      <c r="M100" s="13" t="inlineStr">
        <is>
          <t/>
        </is>
      </c>
      <c r="N100" s="115" t="inlineStr">
        <is>
          <t>In process</t>
        </is>
      </c>
      <c r="O100" s="13" t="inlineStr">
        <is>
          <t/>
        </is>
      </c>
      <c r="P100" s="21" t="inlineStr">
        <is>
          <t>Requested</t>
        </is>
      </c>
      <c r="Q100" s="22"/>
      <c r="R100" s="13" t="inlineStr">
        <is>
          <t/>
        </is>
      </c>
      <c r="S100" s="123" t="inlineStr">
        <is>
          <t>Payment Requested</t>
        </is>
      </c>
      <c r="T100" s="39" t="inlineStr">
        <is>
          <t>Not ready to request</t>
        </is>
      </c>
      <c r="U100" s="40" t="inlineStr">
        <is>
          <t>Not ready to request</t>
        </is>
      </c>
      <c r="V100" s="91" t="inlineStr">
        <is>
          <t>In process</t>
        </is>
      </c>
      <c r="W100" s="58" t="inlineStr">
        <is>
          <t>Done</t>
        </is>
      </c>
      <c r="X100" s="14" t="inlineStr">
        <is>
          <t/>
        </is>
      </c>
      <c r="Y100" s="28" t="inlineStr">
        <is>
          <t>Mifel</t>
        </is>
      </c>
      <c r="Z100" s="29"/>
      <c r="AA100" s="30"/>
      <c r="AB100" s="14" t="inlineStr">
        <is>
          <t>Athene</t>
        </is>
      </c>
      <c r="AC100" s="14" t="inlineStr">
        <is>
          <t/>
        </is>
      </c>
      <c r="AD100" s="70" t="inlineStr">
        <is>
          <t>In process</t>
        </is>
      </c>
      <c r="AE100" s="14" t="n">
        <v>8639400081</v>
      </c>
    </row>
    <row customHeight="1" ht="20" r="101">
      <c r="A101" s="3" t="inlineStr">
        <is>
          <t>824008768 - Winiarz - The Village</t>
        </is>
      </c>
      <c r="B101" s="14" t="inlineStr">
        <is>
          <t/>
        </is>
      </c>
      <c r="C101" s="14" t="n">
        <v>144200</v>
      </c>
      <c r="D101" s="13">
        <v>45834.0</v>
      </c>
      <c r="E101" s="14" t="inlineStr">
        <is>
          <t>Valeria Méndez Villanueva</t>
        </is>
      </c>
      <c r="F101" s="14" t="inlineStr">
        <is>
          <t>VM 5/30: Still waiting for the confirmation of Banco Autofin regarding the presentation of the FPA. 
VM 5/15: Autofin just sent the FPA, Sagrario is reviewing it. 
VM 5/9: Same status.
VM 5/2: Follow up with autofin and seller, in order to update the property documents. 
VM 4/24: Sagrario will confirm with the public notary if the power of attorney granted by Henry will work for closing purposes. 
VM 4/3: The status is the same as last week. VM: The borrower already grant the PoA. The inspection for the appraisal was scheduled for Wednesday. 
the borrower is going to grant the PoA in Playa del Carmen. I already requested the FAP and the Title search.</t>
        </is>
      </c>
      <c r="G101" s="51" t="inlineStr">
        <is>
          <t>All Received</t>
        </is>
      </c>
      <c r="H101" s="32" t="inlineStr">
        <is>
          <t>Approved by Legal</t>
        </is>
      </c>
      <c r="I101" s="13">
        <v>45771.0</v>
      </c>
      <c r="J101" s="18" t="inlineStr">
        <is>
          <t>Approved by Legal</t>
        </is>
      </c>
      <c r="K101" s="13" t="inlineStr">
        <is>
          <t/>
        </is>
      </c>
      <c r="L101" s="100" t="inlineStr">
        <is>
          <t>Approved by Legal</t>
        </is>
      </c>
      <c r="M101" s="13" t="inlineStr">
        <is>
          <t/>
        </is>
      </c>
      <c r="N101" s="73" t="inlineStr">
        <is>
          <t>Requested</t>
        </is>
      </c>
      <c r="O101" s="13" t="inlineStr">
        <is>
          <t/>
        </is>
      </c>
      <c r="P101" s="21" t="inlineStr">
        <is>
          <t>Requested</t>
        </is>
      </c>
      <c r="Q101" s="105" t="inlineStr">
        <is>
          <t>Pending ISR Set to Final</t>
        </is>
      </c>
      <c r="R101" s="13" t="inlineStr">
        <is>
          <t/>
        </is>
      </c>
      <c r="S101" s="92" t="inlineStr">
        <is>
          <t>Payment Completed</t>
        </is>
      </c>
      <c r="T101" s="24" t="inlineStr">
        <is>
          <t>N/A</t>
        </is>
      </c>
      <c r="U101" s="62" t="inlineStr">
        <is>
          <t>Working on it</t>
        </is>
      </c>
      <c r="V101" s="57" t="inlineStr">
        <is>
          <t>Done</t>
        </is>
      </c>
      <c r="W101" s="27" t="inlineStr">
        <is>
          <t>Payment requested</t>
        </is>
      </c>
      <c r="X101" s="14" t="inlineStr">
        <is>
          <t/>
        </is>
      </c>
      <c r="Y101" s="59" t="inlineStr">
        <is>
          <t>Autofin</t>
        </is>
      </c>
      <c r="Z101" s="29"/>
      <c r="AA101" s="30"/>
      <c r="AB101" s="14" t="inlineStr">
        <is>
          <t>Athene</t>
        </is>
      </c>
      <c r="AC101" s="14" t="inlineStr">
        <is>
          <t/>
        </is>
      </c>
      <c r="AD101" s="64" t="inlineStr">
        <is>
          <t>Partial Seller Docs</t>
        </is>
      </c>
      <c r="AE101" s="14" t="n">
        <v>8539050432</v>
      </c>
    </row>
    <row customHeight="1" ht="20" r="102">
      <c r="A102" s="3" t="inlineStr">
        <is>
          <t>824008798 - Murphy - The Village</t>
        </is>
      </c>
      <c r="B102" s="14" t="inlineStr">
        <is>
          <t/>
        </is>
      </c>
      <c r="C102" s="14" t="n">
        <v>144150</v>
      </c>
      <c r="D102" s="13">
        <v>45838.0</v>
      </c>
      <c r="E102" s="14" t="inlineStr">
        <is>
          <t>lreyes@portilla.com.mx</t>
        </is>
      </c>
      <c r="F102" s="14" t="inlineStr">
        <is>
          <t>27/06: We have almost everything ready for closing. However, the borrower doesn’t want to wire his funds to escrow until the estate inspection is complete.
Autofin has approved the closing.
We received the notary's quote.
The interest rate is locked in.
The closing is scheduled for next Monday.
We just need the borrower's bank account information.
20/06:  I’ve received the borrower’s representative documents.
Autofin has not approved the closing.
We need to open the escrow account.
We are waiting for the preventive notice and the no-liens certificate.</t>
        </is>
      </c>
      <c r="G102" s="42" t="inlineStr">
        <is>
          <t>Working on it</t>
        </is>
      </c>
      <c r="H102" s="32" t="inlineStr">
        <is>
          <t>Approved by Legal</t>
        </is>
      </c>
      <c r="I102" s="13">
        <v>45771.0</v>
      </c>
      <c r="J102" s="18" t="inlineStr">
        <is>
          <t>Approved by Legal</t>
        </is>
      </c>
      <c r="K102" s="13">
        <v>45716.0</v>
      </c>
      <c r="L102" s="100" t="inlineStr">
        <is>
          <t>Approved by Legal</t>
        </is>
      </c>
      <c r="M102" s="13" t="inlineStr">
        <is>
          <t/>
        </is>
      </c>
      <c r="N102" s="20" t="inlineStr">
        <is>
          <t>2015 Updated (MoXi)</t>
        </is>
      </c>
      <c r="O102" s="13" t="inlineStr">
        <is>
          <t/>
        </is>
      </c>
      <c r="P102" s="67" t="inlineStr">
        <is>
          <t>Ready to review</t>
        </is>
      </c>
      <c r="Q102" s="53" t="inlineStr">
        <is>
          <t>ECTC Reviewed</t>
        </is>
      </c>
      <c r="R102" s="13" t="inlineStr">
        <is>
          <t/>
        </is>
      </c>
      <c r="S102" s="68" t="inlineStr">
        <is>
          <t>Received</t>
        </is>
      </c>
      <c r="T102" s="24" t="inlineStr">
        <is>
          <t>N/A</t>
        </is>
      </c>
      <c r="U102" s="56" t="inlineStr">
        <is>
          <t>Done</t>
        </is>
      </c>
      <c r="V102" s="57" t="inlineStr">
        <is>
          <t>Done</t>
        </is>
      </c>
      <c r="W102" s="58" t="inlineStr">
        <is>
          <t>Done</t>
        </is>
      </c>
      <c r="X102" s="14" t="inlineStr">
        <is>
          <t/>
        </is>
      </c>
      <c r="Y102" s="59" t="inlineStr">
        <is>
          <t>Autofin</t>
        </is>
      </c>
      <c r="Z102" s="29"/>
      <c r="AA102" s="30"/>
      <c r="AB102" s="14" t="inlineStr">
        <is>
          <t>Athene</t>
        </is>
      </c>
      <c r="AC102" s="14" t="inlineStr">
        <is>
          <t>No Adeudo Predial, Predial, Cooperación por obra, HOA</t>
        </is>
      </c>
      <c r="AD102" s="64" t="inlineStr">
        <is>
          <t>Partial Seller Docs</t>
        </is>
      </c>
      <c r="AE102" s="14" t="n">
        <v>8533931232</v>
      </c>
    </row>
    <row customHeight="1" ht="20" r="103">
      <c r="A103" s="3" t="inlineStr">
        <is>
          <t>824008500 - Rebecca Gaughan - Samsara</t>
        </is>
      </c>
      <c r="B103" s="14" t="inlineStr">
        <is>
          <t/>
        </is>
      </c>
      <c r="C103" s="14" t="n">
        <v>120950</v>
      </c>
      <c r="D103" s="13">
        <v>45848.0</v>
      </c>
      <c r="E103" s="14" t="inlineStr">
        <is>
          <t>Amanda Yee</t>
        </is>
      </c>
      <c r="F103" s="14" t="inlineStr">
        <is>
          <t>AY 7/4: On hold. It seems that the borrower will not move forward with the transaction.
AY 6/26: ALERT! There is no response from the borrower.
AY 6/19: Permit has been received. Awaiting response from the borrower regarding the POA. Awaiting letters of no debt from the developer.
AY 6/13: Permit is still in process. POA has not been sent to the borrower as I am still awaiting VoBo from Rogelio (Title Solutions).
AY 6/4: Permit has been requested. Awaiting response from Title Solutions regarding the POA. POA has not been sent to the borrower, as we are awaiting for Title Solutions.
AY 05/30: POA has not been sent as I am still awaiting response from the Title Solutions team. They are supposed confirming the unit number with the borrower.
AY 05/08: File has been shared with the notary. Draf of POA has been sent for Rogelio's review.
AY 5/2: Awaiting for Sagrario's review on the POA. Certificate of no debts are in process. Pending to share the file with the notary.
AY 04/24: Draft of POA has been sent for Sagrario's review. Working on the S.R.E. Permit.
AY 04/10: Draft of POA has been sent for Sagrario´s review.
AY 04/03: Welcome email has been sent to the borrower in order to explain the lender's legal structure. Working on the draft of the POA.</t>
        </is>
      </c>
      <c r="G103" s="51" t="inlineStr">
        <is>
          <t>All Received</t>
        </is>
      </c>
      <c r="H103" s="71" t="inlineStr">
        <is>
          <t>Requested (MoXi)</t>
        </is>
      </c>
      <c r="I103" s="13" t="inlineStr">
        <is>
          <t/>
        </is>
      </c>
      <c r="J103" s="33" t="inlineStr">
        <is>
          <t>Received (MoXi)</t>
        </is>
      </c>
      <c r="K103" s="13" t="inlineStr">
        <is>
          <t/>
        </is>
      </c>
      <c r="L103" s="45" t="inlineStr">
        <is>
          <t>N/A</t>
        </is>
      </c>
      <c r="M103" s="13" t="inlineStr">
        <is>
          <t/>
        </is>
      </c>
      <c r="N103" s="115" t="inlineStr">
        <is>
          <t>In process</t>
        </is>
      </c>
      <c r="O103" s="13" t="inlineStr">
        <is>
          <t/>
        </is>
      </c>
      <c r="P103" s="67" t="inlineStr">
        <is>
          <t>Ready to review</t>
        </is>
      </c>
      <c r="Q103" s="22"/>
      <c r="R103" s="13" t="inlineStr">
        <is>
          <t/>
        </is>
      </c>
      <c r="S103" s="68" t="inlineStr">
        <is>
          <t>Received</t>
        </is>
      </c>
      <c r="T103" s="39" t="inlineStr">
        <is>
          <t>Not ready to request</t>
        </is>
      </c>
      <c r="U103" s="40" t="inlineStr">
        <is>
          <t>Not ready to request</t>
        </is>
      </c>
      <c r="V103" s="91" t="inlineStr">
        <is>
          <t>In process</t>
        </is>
      </c>
      <c r="W103" s="76" t="inlineStr">
        <is>
          <t>Requested</t>
        </is>
      </c>
      <c r="X103" s="14" t="inlineStr">
        <is>
          <t>824008500 - Rebecca Gaughan - Samsara, 824008500 - Rebecca Gaughan - Samsara</t>
        </is>
      </c>
      <c r="Y103" s="59" t="inlineStr">
        <is>
          <t>Autofin</t>
        </is>
      </c>
      <c r="Z103" s="29"/>
      <c r="AA103" s="30"/>
      <c r="AB103" s="14" t="inlineStr">
        <is>
          <t>Athene</t>
        </is>
      </c>
      <c r="AC103" s="14" t="inlineStr">
        <is>
          <t>Cooperación por obra</t>
        </is>
      </c>
      <c r="AD103" s="50" t="inlineStr">
        <is>
          <t>Approved by  FID</t>
        </is>
      </c>
      <c r="AE103" s="14" t="n">
        <v>8807527405</v>
      </c>
    </row>
    <row customHeight="1" ht="20" r="104">
      <c r="A104" s="3" t="inlineStr">
        <is>
          <t>824008936 - Alan Raymond - General Retail</t>
        </is>
      </c>
      <c r="B104" s="14" t="inlineStr">
        <is>
          <t/>
        </is>
      </c>
      <c r="C104" s="14" t="n">
        <v>1154800</v>
      </c>
      <c r="D104" s="13">
        <v>45869.0</v>
      </c>
      <c r="E104" s="14" t="inlineStr">
        <is>
          <t>Amanda Yee</t>
        </is>
      </c>
      <c r="F104" s="14" t="inlineStr">
        <is>
          <t>AY 6/13: We receive a communication from the borrower's attorney informing that the borrower is cancelled his financing application.
AY 6/4: We receive a communication from the borrower's attorney informing that the borrower is cancelled his financing application.
AY 5/30: Borrower's LLC documents has been received. Working on the draft of the permit and POA. Notary quote has been received.
AY 5/23: Cadastral appraisal has been received. Awaiting response from the notary.
AY 5/15: Awaiting to receive the borrower's documentation in order to start working properly on the permit request and POA. This documentations has already been requested to the borrower's attorney.
AY 2/5: Title search and commercial appraisal were requested. Notary appointed is Notary 17.
AY 04/24: Contact has been initiated with the borrower. 
AY 5/9: Awaiting to receive the borrower's documentation in order to start working properly on the permit request and POA. This documentations has already been requested to the borrower's attorney.
AY 2/5: Title search and commercial appraisal were requested. Notary appointed is Notary 17.
AY 04/24: Contact has been initiated with the borrower. Contact has been initiated with the borrower's attorney. Gathering all the necessary documentation from the parties. Borrower will close with an LLC.</t>
        </is>
      </c>
      <c r="G104" s="77" t="inlineStr">
        <is>
          <t>Requested</t>
        </is>
      </c>
      <c r="H104" s="71" t="inlineStr">
        <is>
          <t>Requested (MoXi)</t>
        </is>
      </c>
      <c r="I104" s="13" t="inlineStr">
        <is>
          <t/>
        </is>
      </c>
      <c r="J104" s="72" t="inlineStr">
        <is>
          <t>Requested (MoXi)</t>
        </is>
      </c>
      <c r="K104" s="13" t="inlineStr">
        <is>
          <t/>
        </is>
      </c>
      <c r="L104" s="78" t="inlineStr">
        <is>
          <t/>
        </is>
      </c>
      <c r="M104" s="13" t="inlineStr">
        <is>
          <t/>
        </is>
      </c>
      <c r="N104" s="73" t="inlineStr">
        <is>
          <t>Requested</t>
        </is>
      </c>
      <c r="O104" s="13" t="inlineStr">
        <is>
          <t/>
        </is>
      </c>
      <c r="P104" s="21" t="inlineStr">
        <is>
          <t>Requested</t>
        </is>
      </c>
      <c r="Q104" s="22"/>
      <c r="R104" s="13" t="inlineStr">
        <is>
          <t/>
        </is>
      </c>
      <c r="S104" s="38" t="inlineStr">
        <is>
          <t>Not ready to request it</t>
        </is>
      </c>
      <c r="T104" s="39" t="inlineStr">
        <is>
          <t>Not ready to request</t>
        </is>
      </c>
      <c r="U104" s="40" t="inlineStr">
        <is>
          <t>Not ready to request</t>
        </is>
      </c>
      <c r="V104" s="81" t="inlineStr">
        <is>
          <t>Not ready to request it</t>
        </is>
      </c>
      <c r="W104" s="41" t="inlineStr">
        <is>
          <t>Not ready to requested</t>
        </is>
      </c>
      <c r="X104" s="14" t="inlineStr">
        <is>
          <t>824008936 - Alan Raymond - General Retail</t>
        </is>
      </c>
      <c r="Y104" s="28" t="inlineStr">
        <is>
          <t>Mifel</t>
        </is>
      </c>
      <c r="Z104" s="29"/>
      <c r="AA104" s="30"/>
      <c r="AB104" s="14" t="inlineStr">
        <is>
          <t>Athene</t>
        </is>
      </c>
      <c r="AC104" s="14" t="inlineStr">
        <is>
          <t/>
        </is>
      </c>
      <c r="AD104" s="70" t="inlineStr">
        <is>
          <t>In process</t>
        </is>
      </c>
      <c r="AE104" s="14" t="n">
        <v>8807575284</v>
      </c>
    </row>
    <row customHeight="1" ht="20" r="105">
      <c r="A105" s="3" t="inlineStr">
        <is>
          <t>824009040 - Christopher Di Angelo - General Retail</t>
        </is>
      </c>
      <c r="B105" s="14" t="inlineStr">
        <is>
          <t/>
        </is>
      </c>
      <c r="C105" s="14" t="n">
        <v>480900</v>
      </c>
      <c r="D105" s="13">
        <v>45840.0</v>
      </c>
      <c r="E105" s="14" t="inlineStr">
        <is>
          <t>Amanda Yee</t>
        </is>
      </c>
      <c r="F105" s="14" t="inlineStr">
        <is>
          <t>AY 6/4: Notary quote has been requested, however, we need to understand next steps regarding the exceptions on the title commitment (derecho al tanto).
AY 5/30: Sagrario is anticipating an exception on the title commitment due to "derecho del tanto", we need to understand next steps, as the borrower was insisting on getting the title commitment before initiate with the closing process.
AY 5/23: Contact was initiated with the notary. 
AY 5/15: We do not have the seller contact information. It seems that they do not want to move forward if they dont have the commercial appraisal and title search approved.
5/12 MO. Mandron correo el 5/9 pidiendo que primero se revise si la propiedad si es sujeta de credito. 5/09 AY: Contact has been initiated with the borrower. Pending to receive property tax payment, floor plans and electricity bill.</t>
        </is>
      </c>
      <c r="G105" s="77" t="inlineStr">
        <is>
          <t>Requested</t>
        </is>
      </c>
      <c r="H105" s="71" t="inlineStr">
        <is>
          <t>Requested (MoXi)</t>
        </is>
      </c>
      <c r="I105" s="13" t="inlineStr">
        <is>
          <t/>
        </is>
      </c>
      <c r="J105" s="72" t="inlineStr">
        <is>
          <t>Requested (MoXi)</t>
        </is>
      </c>
      <c r="K105" s="13" t="inlineStr">
        <is>
          <t/>
        </is>
      </c>
      <c r="L105" s="78" t="inlineStr">
        <is>
          <t/>
        </is>
      </c>
      <c r="M105" s="13" t="inlineStr">
        <is>
          <t/>
        </is>
      </c>
      <c r="N105" s="97"/>
      <c r="O105" s="13" t="inlineStr">
        <is>
          <t/>
        </is>
      </c>
      <c r="P105" s="21" t="inlineStr">
        <is>
          <t>Requested</t>
        </is>
      </c>
      <c r="Q105" s="22"/>
      <c r="R105" s="13" t="inlineStr">
        <is>
          <t/>
        </is>
      </c>
      <c r="S105" s="74" t="inlineStr">
        <is>
          <t>Working on the permit request</t>
        </is>
      </c>
      <c r="T105" s="94"/>
      <c r="U105" s="80"/>
      <c r="V105" s="95" t="inlineStr">
        <is>
          <t>Working on it</t>
        </is>
      </c>
      <c r="W105" s="27" t="inlineStr">
        <is>
          <t>Payment requested</t>
        </is>
      </c>
      <c r="X105" s="14" t="inlineStr">
        <is>
          <t>824009040  - Christopher Di Angelo - General Retail</t>
        </is>
      </c>
      <c r="Y105" s="28" t="inlineStr">
        <is>
          <t>Mifel</t>
        </is>
      </c>
      <c r="Z105" s="29"/>
      <c r="AA105" s="30"/>
      <c r="AB105" s="14" t="inlineStr">
        <is>
          <t/>
        </is>
      </c>
      <c r="AC105" s="14" t="inlineStr">
        <is>
          <t/>
        </is>
      </c>
      <c r="AD105" s="70" t="inlineStr">
        <is>
          <t>In process</t>
        </is>
      </c>
      <c r="AE105" s="14" t="n">
        <v>9052684296</v>
      </c>
    </row>
    <row customHeight="1" ht="20" r="106">
      <c r="A106" s="3" t="inlineStr">
        <is>
          <t>824008982 - Laura Paul - Samsara</t>
        </is>
      </c>
      <c r="B106" s="14" t="inlineStr">
        <is>
          <t/>
        </is>
      </c>
      <c r="C106" s="14" t="n">
        <v>124300</v>
      </c>
      <c r="D106" s="13">
        <v>45899.0</v>
      </c>
      <c r="E106" s="14" t="inlineStr">
        <is>
          <t>Yasmin Yektajo Farzand Shad, Amanda Yee</t>
        </is>
      </c>
      <c r="F106" s="14" t="inlineStr">
        <is>
          <t>AY 7/17: File has been cancelled.
AY 7/11: POA has been sent to the borrowers. Advanced payment to the notary has been requested.
AY 7/4: Awaiting the VoBo from Sagrario regarding the permit and POA drafts. The draft deed has been sent by the notary.
AY 6/26: Surface legal description has been cleared. Working on the draft of the permit and POA.
YY 6/19: Awaiting to receive a CLG in order to confirm the disrepancy on the property surfacen legal description.
MO. 6.13  Property surface documents are not showing the proper information YY 06/13: Waiting on confirmation of description of property to send POA and Permit for review. Pending property documents. Waiting on notary quote, fiscal appraisal and CLG.</t>
        </is>
      </c>
      <c r="G106" s="42" t="inlineStr">
        <is>
          <t>Working on it</t>
        </is>
      </c>
      <c r="H106" s="71" t="inlineStr">
        <is>
          <t>Requested (MoXi)</t>
        </is>
      </c>
      <c r="I106" s="13" t="inlineStr">
        <is>
          <t/>
        </is>
      </c>
      <c r="J106" s="72" t="inlineStr">
        <is>
          <t>Requested (MoXi)</t>
        </is>
      </c>
      <c r="K106" s="13" t="inlineStr">
        <is>
          <t/>
        </is>
      </c>
      <c r="L106" s="45" t="inlineStr">
        <is>
          <t>N/A</t>
        </is>
      </c>
      <c r="M106" s="13" t="inlineStr">
        <is>
          <t/>
        </is>
      </c>
      <c r="N106" s="35" t="inlineStr">
        <is>
          <t>Not ready to request</t>
        </is>
      </c>
      <c r="O106" s="13" t="inlineStr">
        <is>
          <t/>
        </is>
      </c>
      <c r="P106" s="36" t="inlineStr">
        <is>
          <t>Not ready to requested</t>
        </is>
      </c>
      <c r="Q106" s="37" t="inlineStr">
        <is>
          <t>Not Ready to Review</t>
        </is>
      </c>
      <c r="R106" s="13" t="inlineStr">
        <is>
          <t/>
        </is>
      </c>
      <c r="S106" s="74" t="inlineStr">
        <is>
          <t>Working on the permit request</t>
        </is>
      </c>
      <c r="T106" s="24" t="inlineStr">
        <is>
          <t>N/A</t>
        </is>
      </c>
      <c r="U106" s="40" t="inlineStr">
        <is>
          <t>Not ready to request</t>
        </is>
      </c>
      <c r="V106" s="81" t="inlineStr">
        <is>
          <t>Not ready to request it</t>
        </is>
      </c>
      <c r="W106" s="41" t="inlineStr">
        <is>
          <t>Not ready to requested</t>
        </is>
      </c>
      <c r="X106" s="14" t="inlineStr">
        <is>
          <t>824008982 - Laura Paul - Samsara, 824008982 - Laura Paul - Samsara</t>
        </is>
      </c>
      <c r="Y106" s="59" t="inlineStr">
        <is>
          <t>Autofin</t>
        </is>
      </c>
      <c r="Z106" s="29"/>
      <c r="AA106" s="30"/>
      <c r="AB106" s="14" t="inlineStr">
        <is>
          <t/>
        </is>
      </c>
      <c r="AC106" s="14" t="inlineStr">
        <is>
          <t/>
        </is>
      </c>
      <c r="AD106" s="31" t="inlineStr">
        <is>
          <t>N/A</t>
        </is>
      </c>
      <c r="AE106" s="14" t="n">
        <v>8999736776</v>
      </c>
    </row>
    <row customHeight="1" ht="20" r="107">
      <c r="A107" s="3" t="inlineStr">
        <is>
          <t>824008914 - Michael Roberts - General Retail</t>
        </is>
      </c>
      <c r="B107" s="14" t="inlineStr">
        <is>
          <t/>
        </is>
      </c>
      <c r="C107" s="14" t="n">
        <v>289800</v>
      </c>
      <c r="D107" s="13">
        <v>45898.0</v>
      </c>
      <c r="E107" s="14" t="inlineStr">
        <is>
          <t>Valeria Méndez Villanueva</t>
        </is>
      </c>
      <c r="F107" s="14" t="inlineStr">
        <is>
          <t>VM 7/24: The notary public will send a Checklist pointing out the pending documents he need in order to proceed with the closing. Michael has already granted the PoA. 
 VM 7/18: The notary already shared the project, Sagrario is making some changes,  we are still waiting for the borrower to grant the PoA. The notary public needs to send property documents. 
VM 7/10: We are waiting for the notary public to share the property documents and for the borrower to appoint his PoA. 
VM 7/3: We have already requested the first quotation and the preventive notice. 
VMV 6/19: I have already contacted the borrower and the notary public.</t>
        </is>
      </c>
      <c r="G107" s="42" t="inlineStr">
        <is>
          <t>Working on it</t>
        </is>
      </c>
      <c r="H107" s="17" t="inlineStr">
        <is>
          <t>Received (MoXi)</t>
        </is>
      </c>
      <c r="I107" s="13">
        <v>45855.0</v>
      </c>
      <c r="J107" s="18" t="inlineStr">
        <is>
          <t>Approved by Legal</t>
        </is>
      </c>
      <c r="K107" s="13" t="inlineStr">
        <is>
          <t/>
        </is>
      </c>
      <c r="L107" s="60" t="inlineStr">
        <is>
          <t>Received (MoXi)</t>
        </is>
      </c>
      <c r="M107" s="13" t="inlineStr">
        <is>
          <t/>
        </is>
      </c>
      <c r="N107" s="73" t="inlineStr">
        <is>
          <t>Requested</t>
        </is>
      </c>
      <c r="O107" s="13" t="inlineStr">
        <is>
          <t/>
        </is>
      </c>
      <c r="P107" s="93" t="inlineStr">
        <is>
          <t/>
        </is>
      </c>
      <c r="Q107" s="22"/>
      <c r="R107" s="13" t="inlineStr">
        <is>
          <t/>
        </is>
      </c>
      <c r="S107" s="90" t="inlineStr">
        <is>
          <t>N/A</t>
        </is>
      </c>
      <c r="T107" s="94"/>
      <c r="U107" s="80"/>
      <c r="V107" s="91" t="inlineStr">
        <is>
          <t>In process</t>
        </is>
      </c>
      <c r="W107" s="27" t="inlineStr">
        <is>
          <t>Payment requested</t>
        </is>
      </c>
      <c r="X107" s="14" t="inlineStr">
        <is>
          <t/>
        </is>
      </c>
      <c r="Y107" s="28" t="inlineStr">
        <is>
          <t>Mifel</t>
        </is>
      </c>
      <c r="Z107" s="29"/>
      <c r="AA107" s="30"/>
      <c r="AB107" s="14" t="inlineStr">
        <is>
          <t>Athene</t>
        </is>
      </c>
      <c r="AC107" s="14" t="inlineStr">
        <is>
          <t/>
        </is>
      </c>
      <c r="AD107" s="31" t="inlineStr">
        <is>
          <t>N/A</t>
        </is>
      </c>
      <c r="AE107" s="14" t="n">
        <v>8597371653</v>
      </c>
    </row>
    <row customHeight="1" ht="20" r="108">
      <c r="A108" s="3" t="inlineStr">
        <is>
          <t>824008972 - Raymond Besser - General Retail</t>
        </is>
      </c>
      <c r="B108" s="14" t="inlineStr">
        <is>
          <t/>
        </is>
      </c>
      <c r="C108" s="14" t="n">
        <v>158600</v>
      </c>
      <c r="D108" s="13">
        <v>46203.0</v>
      </c>
      <c r="E108" s="14" t="inlineStr">
        <is>
          <t>ERNESTO A. TABOADA</t>
        </is>
      </c>
      <c r="F108" s="14" t="inlineStr">
        <is>
          <t>We will start working on 2026</t>
        </is>
      </c>
      <c r="G108" s="16" t="inlineStr">
        <is>
          <t>Stuck</t>
        </is>
      </c>
      <c r="H108" s="43" t="inlineStr">
        <is>
          <t>Stuck</t>
        </is>
      </c>
      <c r="I108" s="13" t="inlineStr">
        <is>
          <t/>
        </is>
      </c>
      <c r="J108" s="44" t="inlineStr">
        <is>
          <t>Stuck</t>
        </is>
      </c>
      <c r="K108" s="13" t="inlineStr">
        <is>
          <t/>
        </is>
      </c>
      <c r="L108" s="65" t="inlineStr">
        <is>
          <t>Stuck</t>
        </is>
      </c>
      <c r="M108" s="13" t="inlineStr">
        <is>
          <t/>
        </is>
      </c>
      <c r="N108" s="97"/>
      <c r="O108" s="13" t="inlineStr">
        <is>
          <t/>
        </is>
      </c>
      <c r="P108" s="93" t="inlineStr">
        <is>
          <t/>
        </is>
      </c>
      <c r="Q108" s="22"/>
      <c r="R108" s="13" t="inlineStr">
        <is>
          <t/>
        </is>
      </c>
      <c r="S108" s="74" t="inlineStr">
        <is>
          <t>Working on the permit request</t>
        </is>
      </c>
      <c r="T108" s="94"/>
      <c r="U108" s="80"/>
      <c r="V108" s="98"/>
      <c r="W108" s="27" t="inlineStr">
        <is>
          <t>Payment requested</t>
        </is>
      </c>
      <c r="X108" s="14" t="inlineStr">
        <is>
          <t>824008972 - Raymond Besser - General Retail</t>
        </is>
      </c>
      <c r="Y108" s="59" t="inlineStr">
        <is>
          <t>Autofin</t>
        </is>
      </c>
      <c r="Z108" s="29"/>
      <c r="AA108" s="30"/>
      <c r="AB108" s="14" t="inlineStr">
        <is>
          <t>Athene</t>
        </is>
      </c>
      <c r="AC108" s="14" t="inlineStr">
        <is>
          <t/>
        </is>
      </c>
      <c r="AD108" s="31" t="inlineStr">
        <is>
          <t>N/A</t>
        </is>
      </c>
      <c r="AE108" s="14" t="n">
        <v>8950083704</v>
      </c>
    </row>
    <row customHeight="1" ht="20" r="109">
      <c r="A109" s="3" t="inlineStr">
        <is>
          <t>824008858 - Raymond Besser - The Village</t>
        </is>
      </c>
      <c r="B109" s="14" t="inlineStr">
        <is>
          <t/>
        </is>
      </c>
      <c r="C109" s="14" t="n">
        <v>176600</v>
      </c>
      <c r="D109" s="13">
        <v>45915.0</v>
      </c>
      <c r="E109" s="14" t="inlineStr">
        <is>
          <t>ERNESTO A. TABOADA</t>
        </is>
      </c>
      <c r="F109" s="14" t="inlineStr">
        <is>
          <t>8.1 Tower 5  we received the condo Waiting for the condominum regime deed</t>
        </is>
      </c>
      <c r="G109" s="16" t="inlineStr">
        <is>
          <t>Stuck</t>
        </is>
      </c>
      <c r="H109" s="43" t="inlineStr">
        <is>
          <t>Stuck</t>
        </is>
      </c>
      <c r="I109" s="13" t="inlineStr">
        <is>
          <t/>
        </is>
      </c>
      <c r="J109" s="44" t="inlineStr">
        <is>
          <t>Stuck</t>
        </is>
      </c>
      <c r="K109" s="13" t="inlineStr">
        <is>
          <t/>
        </is>
      </c>
      <c r="L109" s="65" t="inlineStr">
        <is>
          <t>Stuck</t>
        </is>
      </c>
      <c r="M109" s="13" t="inlineStr">
        <is>
          <t/>
        </is>
      </c>
      <c r="N109" s="97"/>
      <c r="O109" s="13" t="inlineStr">
        <is>
          <t/>
        </is>
      </c>
      <c r="P109" s="93" t="inlineStr">
        <is>
          <t/>
        </is>
      </c>
      <c r="Q109" s="22"/>
      <c r="R109" s="13" t="inlineStr">
        <is>
          <t/>
        </is>
      </c>
      <c r="S109" s="74" t="inlineStr">
        <is>
          <t>Working on the permit request</t>
        </is>
      </c>
      <c r="T109" s="94"/>
      <c r="U109" s="80"/>
      <c r="V109" s="98"/>
      <c r="W109" s="27" t="inlineStr">
        <is>
          <t>Payment requested</t>
        </is>
      </c>
      <c r="X109" s="14" t="inlineStr">
        <is>
          <t>824008858 - Raymond Besser - General Retail</t>
        </is>
      </c>
      <c r="Y109" s="59" t="inlineStr">
        <is>
          <t>Autofin</t>
        </is>
      </c>
      <c r="Z109" s="29"/>
      <c r="AA109" s="30"/>
      <c r="AB109" s="14" t="inlineStr">
        <is>
          <t>Athene</t>
        </is>
      </c>
      <c r="AC109" s="14" t="inlineStr">
        <is>
          <t/>
        </is>
      </c>
      <c r="AD109" s="31" t="inlineStr">
        <is>
          <t>N/A</t>
        </is>
      </c>
      <c r="AE109" s="14" t="n">
        <v>8950085376</v>
      </c>
    </row>
    <row customHeight="1" ht="20" r="110">
      <c r="A110" s="3" t="inlineStr">
        <is>
          <t>824009189 - Wardell - General Retail - PV</t>
        </is>
      </c>
      <c r="B110" s="14" t="inlineStr">
        <is>
          <t/>
        </is>
      </c>
      <c r="C110" s="14" t="n">
        <v>250000</v>
      </c>
      <c r="D110" s="13">
        <v>45908.0</v>
      </c>
      <c r="E110" s="14" t="inlineStr">
        <is>
          <t>MARIANA PINEDA PASQUEL</t>
        </is>
      </c>
      <c r="F110" s="14" t="inlineStr">
        <is>
          <t>OJO EL CLIENT WITHDREW .. PLEAE DO NOT WORK ON IT</t>
        </is>
      </c>
      <c r="G110" s="83"/>
      <c r="H110" s="96" t="inlineStr">
        <is>
          <t/>
        </is>
      </c>
      <c r="I110" s="13" t="inlineStr">
        <is>
          <t/>
        </is>
      </c>
      <c r="J110" s="104" t="inlineStr">
        <is>
          <t/>
        </is>
      </c>
      <c r="K110" s="13" t="inlineStr">
        <is>
          <t/>
        </is>
      </c>
      <c r="L110" s="78" t="inlineStr">
        <is>
          <t/>
        </is>
      </c>
      <c r="M110" s="13" t="inlineStr">
        <is>
          <t/>
        </is>
      </c>
      <c r="N110" s="97"/>
      <c r="O110" s="13" t="inlineStr">
        <is>
          <t/>
        </is>
      </c>
      <c r="P110" s="93" t="inlineStr">
        <is>
          <t/>
        </is>
      </c>
      <c r="Q110" s="22"/>
      <c r="R110" s="13" t="inlineStr">
        <is>
          <t/>
        </is>
      </c>
      <c r="S110" s="74" t="inlineStr">
        <is>
          <t>Working on the permit request</t>
        </is>
      </c>
      <c r="T110" s="94"/>
      <c r="U110" s="80"/>
      <c r="V110" s="98"/>
      <c r="W110" s="27" t="inlineStr">
        <is>
          <t>Payment requested</t>
        </is>
      </c>
      <c r="X110" s="14" t="inlineStr">
        <is>
          <t>824009189 - Wardell - General Retail - PV</t>
        </is>
      </c>
      <c r="Y110" s="99" t="inlineStr">
        <is>
          <t/>
        </is>
      </c>
      <c r="Z110" s="29"/>
      <c r="AA110" s="30"/>
      <c r="AB110" s="14" t="inlineStr">
        <is>
          <t>Athene</t>
        </is>
      </c>
      <c r="AC110" s="14" t="inlineStr">
        <is>
          <t/>
        </is>
      </c>
      <c r="AD110" s="31" t="inlineStr">
        <is>
          <t>N/A</t>
        </is>
      </c>
      <c r="AE110" s="14" t="n">
        <v>9607660314</v>
      </c>
    </row>
    <row customHeight="1" ht="20" r="111">
      <c r="A111" s="3" t="inlineStr">
        <is>
          <t>824009000 - Scott Lang - General Retail</t>
        </is>
      </c>
      <c r="B111" s="14" t="inlineStr">
        <is>
          <t/>
        </is>
      </c>
      <c r="C111" s="14" t="n">
        <v>264900</v>
      </c>
      <c r="D111" s="13">
        <v>45926.0</v>
      </c>
      <c r="E111" s="14" t="inlineStr">
        <is>
          <t>Amanda Yee</t>
        </is>
      </c>
      <c r="F111" s="14" t="inlineStr">
        <is>
          <t>AY 8/8: The borrower has decided to cancel their loan application
AY 7/31: I have a meeting scheduled with Notary 2 of Chapala on Friday, 8/1, to discuss the lender's legal structure and confirm whether they can assist with the transaction. The borrower's current lender has expressed that they do not wish to work with a different notary.
AY 7/23: WE DO NOT HAVE COPY OF THE FULL RECORDED DEED. 
We received a communication from the borrower's current lender, where he is conditioning the transaction to the Notary 2 of Chapala. We will discuss with the notary if they are able to assist us with the transaction. The current lender will not provide us with their general info.
AY 7/17: We are still awaiting to receive the current public deed with registration stamps. 
AY 7/11: We have been in contact with the notary in order to request a second testimony of the current public deed.
AY 7/4: The borrower has shared some property documents, but the notarized title deed has not yet been shared.
AY 6/26: ALERT! We do not have a copy of the current public deed, and the notary holding the document is not responding to our requests.
AY 6/19: We have not yet received the recorded title deed. We are assisting the borrower in following up with the notary, who holds a copy of the recorded deed; however, we have not received a response yet.
6.13 MO   the person with the contact is the partner of the borrower as he lives on the sea.    Documents are missing and incomplete AY 6/13: Contact with the borrower's partner has been initiated. Working in gathering all the property docs.
AY 6/11: To initiate contact with the borrower.</t>
        </is>
      </c>
      <c r="G111" s="77" t="inlineStr">
        <is>
          <t>Requested</t>
        </is>
      </c>
      <c r="H111" s="124" t="inlineStr">
        <is>
          <t>Gathering documents</t>
        </is>
      </c>
      <c r="I111" s="13" t="inlineStr">
        <is>
          <t/>
        </is>
      </c>
      <c r="J111" s="85" t="inlineStr">
        <is>
          <t>Not ready to requested</t>
        </is>
      </c>
      <c r="K111" s="13" t="inlineStr">
        <is>
          <t/>
        </is>
      </c>
      <c r="L111" s="78" t="inlineStr">
        <is>
          <t/>
        </is>
      </c>
      <c r="M111" s="13" t="inlineStr">
        <is>
          <t/>
        </is>
      </c>
      <c r="N111" s="35" t="inlineStr">
        <is>
          <t>Not ready to request</t>
        </is>
      </c>
      <c r="O111" s="13" t="inlineStr">
        <is>
          <t/>
        </is>
      </c>
      <c r="P111" s="36" t="inlineStr">
        <is>
          <t>Not ready to requested</t>
        </is>
      </c>
      <c r="Q111" s="22"/>
      <c r="R111" s="13" t="inlineStr">
        <is>
          <t/>
        </is>
      </c>
      <c r="S111" s="90" t="inlineStr">
        <is>
          <t>N/A</t>
        </is>
      </c>
      <c r="T111" s="39" t="inlineStr">
        <is>
          <t>Not ready to request</t>
        </is>
      </c>
      <c r="U111" s="40" t="inlineStr">
        <is>
          <t>Not ready to request</t>
        </is>
      </c>
      <c r="V111" s="81" t="inlineStr">
        <is>
          <t>Not ready to request it</t>
        </is>
      </c>
      <c r="W111" s="88" t="inlineStr">
        <is>
          <t>N/A</t>
        </is>
      </c>
      <c r="X111" s="14" t="inlineStr">
        <is>
          <t>824009000 - Scott Lang - General Retail</t>
        </is>
      </c>
      <c r="Y111" s="28" t="inlineStr">
        <is>
          <t>Mifel</t>
        </is>
      </c>
      <c r="Z111" s="29"/>
      <c r="AA111" s="30"/>
      <c r="AB111" s="14" t="inlineStr">
        <is>
          <t>Athene</t>
        </is>
      </c>
      <c r="AC111" s="14" t="inlineStr">
        <is>
          <t/>
        </is>
      </c>
      <c r="AD111" s="31" t="inlineStr">
        <is>
          <t>N/A</t>
        </is>
      </c>
      <c r="AE111" s="14" t="n">
        <v>9324355084</v>
      </c>
    </row>
    <row customHeight="1" ht="20" r="112">
      <c r="A112" s="3" t="inlineStr">
        <is>
          <t>824009023 - Morgan - General Retail</t>
        </is>
      </c>
      <c r="B112" s="14" t="inlineStr">
        <is>
          <t/>
        </is>
      </c>
      <c r="C112" s="14" t="n">
        <v>227450</v>
      </c>
      <c r="D112" s="13">
        <v>45908.0</v>
      </c>
      <c r="E112" s="14" t="inlineStr">
        <is>
          <t>Amanda Yee</t>
        </is>
      </c>
      <c r="F112" s="14" t="inlineStr">
        <is>
          <t>AY 9/5: ALERT! 
AY 8/28: Awaiting for Autofin's approval. Lic. Salinas is personally reviewing the file.
AY 8/21: Awaiting for Autofin's approval.
AY 8/15: Draft deed was sent for the fiduciario's review. Awaiting for Scotiabank payment. Certificate of CAPA will be ready on Monday.
AY 8/8: Notary has shared the draft deeds. Awaiting for Sagrario's review. Then we have to send the draft deeds for Scotiabank and Autofin's revision.
AY 7/31: Foreing Affairs Permit has been received. Awaiting for the notary to share the draft deeds. Technical documents are still in process.
AY 7/23: The borrower is upset due to the rescheduling of the closing date. We have explained to her that this does not depend on MoXi, but rather on several factors, including the notary, government offices, and fiduciaries. The POA has been received. The notary is about to send the draft deeds. The permit is still in process.
AY 7/17: Technical documents have been requested by the notary. POA is in process of notarization and apostille.
AY 7/11: Advanced payment has been made. We requested to the notary to start working on the draft deed and technical documents. Permit has been requested to Autofin.
AY 7/4: The borrower cannot make the advance payment to the notary. The draft of the power of attorney (PoA) and permit S.R.E. has been sent to Sagrario for review.
|AY 6/19: Property docs have been received. Title search and commercial appraisal have been requested to Servando. Working on the draft of POA. Pending to confirm with MoXi if the fiduciary will be Autofin or Mifel.
MO 6.13. The property doc arre in a SafeBox and they have not been able to open it to deliver property documents.. Moving  date AY 6/13: A call was held with the notary. Awaiting to receive copy of the full seller's title deed.
AY 6/4: Contact has been initiated with the closing coordinator of the agency representing the buyer. Awaiting for property documents and seller documents. 
05/30 AY: To initiate contact with the borrower.</t>
        </is>
      </c>
      <c r="G112" s="77" t="inlineStr">
        <is>
          <t>Requested</t>
        </is>
      </c>
      <c r="H112" s="17" t="inlineStr">
        <is>
          <t>Received (MoXi)</t>
        </is>
      </c>
      <c r="I112" s="13" t="inlineStr">
        <is>
          <t/>
        </is>
      </c>
      <c r="J112" s="33" t="inlineStr">
        <is>
          <t>Received (MoXi)</t>
        </is>
      </c>
      <c r="K112" s="13" t="inlineStr">
        <is>
          <t/>
        </is>
      </c>
      <c r="L112" s="19" t="inlineStr">
        <is>
          <t>Requested (MoXi)</t>
        </is>
      </c>
      <c r="M112" s="13" t="inlineStr">
        <is>
          <t/>
        </is>
      </c>
      <c r="N112" s="20" t="inlineStr">
        <is>
          <t>2015 Updated (MoXi)</t>
        </is>
      </c>
      <c r="O112" s="13" t="inlineStr">
        <is>
          <t/>
        </is>
      </c>
      <c r="P112" s="21" t="inlineStr">
        <is>
          <t>Requested</t>
        </is>
      </c>
      <c r="Q112" s="53" t="inlineStr">
        <is>
          <t>ECTC Reviewed</t>
        </is>
      </c>
      <c r="R112" s="13" t="inlineStr">
        <is>
          <t/>
        </is>
      </c>
      <c r="S112" s="68" t="inlineStr">
        <is>
          <t>Received</t>
        </is>
      </c>
      <c r="T112" s="75" t="inlineStr">
        <is>
          <t>Working on Cancelation</t>
        </is>
      </c>
      <c r="U112" s="103" t="inlineStr">
        <is>
          <t>Requested</t>
        </is>
      </c>
      <c r="V112" s="57" t="inlineStr">
        <is>
          <t>Done</t>
        </is>
      </c>
      <c r="W112" s="76" t="inlineStr">
        <is>
          <t>Requested</t>
        </is>
      </c>
      <c r="X112" s="14" t="inlineStr">
        <is>
          <t>824009023 - Morgan - General Retail</t>
        </is>
      </c>
      <c r="Y112" s="59" t="inlineStr">
        <is>
          <t>Autofin</t>
        </is>
      </c>
      <c r="Z112" s="29"/>
      <c r="AA112" s="30"/>
      <c r="AB112" s="14" t="inlineStr">
        <is>
          <t>Athene</t>
        </is>
      </c>
      <c r="AC112" s="14" t="inlineStr">
        <is>
          <t/>
        </is>
      </c>
      <c r="AD112" s="31" t="inlineStr">
        <is>
          <t>N/A</t>
        </is>
      </c>
      <c r="AE112" s="14" t="n">
        <v>9217211880</v>
      </c>
    </row>
    <row customHeight="1" ht="20" r="113">
      <c r="A113" s="3" t="inlineStr">
        <is>
          <t>82008849 - Steven Ehrlich - General Retail</t>
        </is>
      </c>
      <c r="B113" s="14" t="inlineStr">
        <is>
          <t/>
        </is>
      </c>
      <c r="C113" s="14" t="n">
        <v>449900</v>
      </c>
      <c r="D113" s="13">
        <v>45930.0</v>
      </c>
      <c r="E113" s="14" t="inlineStr">
        <is>
          <t>Ricardo Miguel Hernandez Sosa</t>
        </is>
      </c>
      <c r="F113" s="14" t="inlineStr">
        <is>
          <t>RH 9/11: (i) The fideicomiso’s project is still under review by the borrower’s attorney. (ii) BBVA formats are still pending to be completed due to certain information from the borrower’s wife that has yet to be received. I’ve made several attempts to obtain this information, but unfortunately, I have not received any reply so far.
(ii) Pending items at this point are: (i) to have the fideicomiso project reviewed by all parties; (ii) to submit the BBVA formats to the bank and waiting for its confirmation and instructions letter to the notary, (iii) to submit the project before MIFEL and BBVA. (iv) to renew any certificate that is not valid. 
RH 9/5: (i) The fideicomiso’s project is still under review by the borrower’s attorney. (ii) BBVA formats are still pending to be completed due to certain information from the borrower’s wife has yet to be received
RH 8/21: (i) POA has been processed by Jared. We already have the translated version. (ii)preventive notice requested to the notary. In process. (iii) Since the POA has been granted, we’re ready to complete and sign the instruction letter to BBVA, the formats of BBVA and Mifel. (iv) The notary project is under review. 
RH 8/14: (i) POA still in process. (ii) preventive notice requested to the notary.</t>
        </is>
      </c>
      <c r="G113" s="42" t="inlineStr">
        <is>
          <t>Working on it</t>
        </is>
      </c>
      <c r="H113" s="32" t="inlineStr">
        <is>
          <t>Approved by Legal</t>
        </is>
      </c>
      <c r="I113" s="13">
        <v>45868.0</v>
      </c>
      <c r="J113" s="18" t="inlineStr">
        <is>
          <t>Approved by Legal</t>
        </is>
      </c>
      <c r="K113" s="13" t="inlineStr">
        <is>
          <t/>
        </is>
      </c>
      <c r="L113" s="100" t="inlineStr">
        <is>
          <t>Approved by Legal</t>
        </is>
      </c>
      <c r="M113" s="13" t="inlineStr">
        <is>
          <t/>
        </is>
      </c>
      <c r="N113" s="20" t="inlineStr">
        <is>
          <t>2015 Updated (MoXi)</t>
        </is>
      </c>
      <c r="O113" s="13" t="inlineStr">
        <is>
          <t/>
        </is>
      </c>
      <c r="P113" s="67" t="inlineStr">
        <is>
          <t>Ready to review</t>
        </is>
      </c>
      <c r="Q113" s="53" t="inlineStr">
        <is>
          <t>ECTC Reviewed</t>
        </is>
      </c>
      <c r="R113" s="13" t="inlineStr">
        <is>
          <t/>
        </is>
      </c>
      <c r="S113" s="68" t="inlineStr">
        <is>
          <t>Received</t>
        </is>
      </c>
      <c r="T113" s="75" t="inlineStr">
        <is>
          <t>Working on Cancelation</t>
        </is>
      </c>
      <c r="U113" s="62" t="inlineStr">
        <is>
          <t>Working on it</t>
        </is>
      </c>
      <c r="V113" s="57" t="inlineStr">
        <is>
          <t>Done</t>
        </is>
      </c>
      <c r="W113" s="58" t="inlineStr">
        <is>
          <t>Done</t>
        </is>
      </c>
      <c r="X113" s="14" t="inlineStr">
        <is>
          <t>824008849 - Steven Ehrlich - General Retail</t>
        </is>
      </c>
      <c r="Y113" s="28" t="inlineStr">
        <is>
          <t>Mifel</t>
        </is>
      </c>
      <c r="Z113" s="29"/>
      <c r="AA113" s="30"/>
      <c r="AB113" s="14" t="inlineStr">
        <is>
          <t>Athene</t>
        </is>
      </c>
      <c r="AC113" s="14" t="inlineStr">
        <is>
          <t>Av, No Adeudo Predial</t>
        </is>
      </c>
      <c r="AD113" s="31" t="inlineStr">
        <is>
          <t>N/A</t>
        </is>
      </c>
      <c r="AE113" s="14" t="n">
        <v>8807294159</v>
      </c>
    </row>
    <row customHeight="1" ht="20" r="114">
      <c r="A114" s="3" t="inlineStr">
        <is>
          <t>824008767 - Selmon Partnership The Village</t>
        </is>
      </c>
      <c r="B114" s="14" t="inlineStr">
        <is>
          <t/>
        </is>
      </c>
      <c r="C114" s="14" t="n">
        <v>174250</v>
      </c>
      <c r="D114" s="13">
        <v>45926.0</v>
      </c>
      <c r="E114" s="14" t="inlineStr">
        <is>
          <t>Valeria Méndez Villanueva</t>
        </is>
      </c>
      <c r="F114" s="14" t="inlineStr">
        <is>
          <t>VM 8/28: The borrower withdrew. VM 8/21: Same status. VM 8/14: Im waiting for the seller to share the executed purchase agreement under his name. VM 8/7:  I reviewed the LLC documents, and since David isn't the sole member, he can't close with the LLC. MoXi asked Yaneth to reach out the borrower and explain the situation. 
VM 8/1: The developer sent some documentation regarding tower 5. I'm reviewing the property documents as well as the LLC documents Selmon provide. VM 6/19 : Stuck since there's no advance in tower 5. 
VM  6/12: Since David is going to close through a LLC, I requested the information of the LLC in order to proceed with the closing. 
VM 5/30: David told me he signed a promise to purchase by the LLC, but I don't see it on Encompass. Can someone confirm if this has already been done? 
VM 5/22: same status and need to ckeck with the developer if David will be able to close with the LLC, since he exceuted the promise to purchase in his own name. V;M 5/9: Same status. VM 5/2: Under construction. Will probably close in june. 
VM: Waiting for the seller to get the property documents from tower 5.</t>
        </is>
      </c>
      <c r="G114" s="42" t="inlineStr">
        <is>
          <t>Working on it</t>
        </is>
      </c>
      <c r="H114" s="120" t="inlineStr">
        <is>
          <t>Ready to request</t>
        </is>
      </c>
      <c r="I114" s="13" t="inlineStr">
        <is>
          <t/>
        </is>
      </c>
      <c r="J114" s="121" t="inlineStr">
        <is>
          <t>Ready to Request</t>
        </is>
      </c>
      <c r="K114" s="13" t="inlineStr">
        <is>
          <t/>
        </is>
      </c>
      <c r="L114" s="45" t="inlineStr">
        <is>
          <t>N/A</t>
        </is>
      </c>
      <c r="M114" s="13" t="inlineStr">
        <is>
          <t/>
        </is>
      </c>
      <c r="N114" s="73" t="inlineStr">
        <is>
          <t>Requested</t>
        </is>
      </c>
      <c r="O114" s="13" t="inlineStr">
        <is>
          <t/>
        </is>
      </c>
      <c r="P114" s="36" t="inlineStr">
        <is>
          <t>Not ready to requested</t>
        </is>
      </c>
      <c r="Q114" s="22"/>
      <c r="R114" s="13" t="inlineStr">
        <is>
          <t/>
        </is>
      </c>
      <c r="S114" s="23" t="inlineStr">
        <is>
          <t>Stuck</t>
        </is>
      </c>
      <c r="T114" s="94"/>
      <c r="U114" s="25" t="inlineStr">
        <is>
          <t>Stuck</t>
        </is>
      </c>
      <c r="V114" s="49" t="inlineStr">
        <is>
          <t>Stuck</t>
        </is>
      </c>
      <c r="W114" s="27" t="inlineStr">
        <is>
          <t>Payment requested</t>
        </is>
      </c>
      <c r="X114" s="14" t="inlineStr">
        <is>
          <t/>
        </is>
      </c>
      <c r="Y114" s="59" t="inlineStr">
        <is>
          <t>Autofin</t>
        </is>
      </c>
      <c r="Z114" s="29"/>
      <c r="AA114" s="30"/>
      <c r="AB114" s="14" t="inlineStr">
        <is>
          <t>Playa Financial</t>
        </is>
      </c>
      <c r="AC114" s="14" t="inlineStr">
        <is>
          <t/>
        </is>
      </c>
      <c r="AD114" s="64" t="inlineStr">
        <is>
          <t>Partial Seller Docs</t>
        </is>
      </c>
      <c r="AE114" s="14" t="n">
        <v>8549924248</v>
      </c>
    </row>
    <row customHeight="1" ht="20" r="115">
      <c r="A115" s="0" t="inlineStr">
        <is>
          <t/>
        </is>
      </c>
      <c r="B115" s="0" t="inlineStr">
        <is>
          <t/>
        </is>
      </c>
      <c r="C115" s="108" t="str">
        <f>SUM(C90:C114)</f>
      </c>
      <c r="D115" s="108" t="inlineStr">
        <is>
          <t>2025-03-05 to 2026-06-30</t>
        </is>
      </c>
      <c r="E115" s="0" t="inlineStr">
        <is>
          <t/>
        </is>
      </c>
      <c r="F115" s="0" t="inlineStr">
        <is>
          <t/>
        </is>
      </c>
      <c r="G115" s="0" t="inlineStr">
        <is>
          <t/>
        </is>
      </c>
      <c r="H115" s="0" t="inlineStr">
        <is>
          <t/>
        </is>
      </c>
      <c r="I115" s="108" t="inlineStr">
        <is>
          <t>2024-10-02 to 2025-07-30</t>
        </is>
      </c>
      <c r="J115" s="0" t="inlineStr">
        <is>
          <t/>
        </is>
      </c>
      <c r="K115" s="108" t="inlineStr">
        <is>
          <t>2024-08-23 to 2025-02-28</t>
        </is>
      </c>
      <c r="L115" s="0" t="inlineStr">
        <is>
          <t/>
        </is>
      </c>
      <c r="M115" s="108" t="inlineStr">
        <is>
          <t>2024-10-02</t>
        </is>
      </c>
      <c r="N115" s="0" t="inlineStr">
        <is>
          <t/>
        </is>
      </c>
      <c r="O115" s="0" t="inlineStr">
        <is>
          <t/>
        </is>
      </c>
      <c r="P115" s="0" t="inlineStr">
        <is>
          <t/>
        </is>
      </c>
      <c r="Q115" s="0" t="inlineStr">
        <is>
          <t/>
        </is>
      </c>
      <c r="R115" s="0" t="inlineStr">
        <is>
          <t/>
        </is>
      </c>
      <c r="S115" s="0" t="inlineStr">
        <is>
          <t/>
        </is>
      </c>
      <c r="T115" s="0" t="inlineStr">
        <is>
          <t/>
        </is>
      </c>
      <c r="U115" s="0" t="inlineStr">
        <is>
          <t/>
        </is>
      </c>
      <c r="V115" s="0" t="inlineStr">
        <is>
          <t/>
        </is>
      </c>
      <c r="W115" s="0" t="inlineStr">
        <is>
          <t/>
        </is>
      </c>
      <c r="X115" s="0" t="inlineStr">
        <is>
          <t/>
        </is>
      </c>
      <c r="Y115" s="0" t="inlineStr">
        <is>
          <t/>
        </is>
      </c>
      <c r="Z115" s="0" t="inlineStr">
        <is>
          <t/>
        </is>
      </c>
      <c r="AA115" s="0" t="inlineStr">
        <is>
          <t/>
        </is>
      </c>
      <c r="AB115" s="0" t="inlineStr">
        <is>
          <t/>
        </is>
      </c>
      <c r="AC115" s="0" t="inlineStr">
        <is>
          <t/>
        </is>
      </c>
      <c r="AD115" s="0" t="inlineStr">
        <is>
          <t/>
        </is>
      </c>
    </row>
    <row customHeight="1" ht="40" r="116"/>
    <row customHeight="1" ht="20" r="117">
      <c r="A117" s="125" t="inlineStr">
        <is>
          <t>On Hold</t>
        </is>
      </c>
    </row>
    <row customHeight="1" ht="20" r="118">
      <c r="A118" s="7" t="inlineStr">
        <is>
          <t>Name</t>
        </is>
      </c>
      <c r="B118" s="6" t="inlineStr">
        <is>
          <t>Subelementos</t>
        </is>
      </c>
      <c r="C118" s="6" t="inlineStr">
        <is>
          <t>Loan Amount</t>
        </is>
      </c>
      <c r="D118" s="6" t="inlineStr">
        <is>
          <t>Est Closing Date</t>
        </is>
      </c>
      <c r="E118" s="6" t="inlineStr">
        <is>
          <t>Owner</t>
        </is>
      </c>
      <c r="F118" s="6" t="inlineStr">
        <is>
          <t>Comments</t>
        </is>
      </c>
      <c r="G118" s="6" t="inlineStr">
        <is>
          <t>Property Documents</t>
        </is>
      </c>
      <c r="H118" s="6" t="inlineStr">
        <is>
          <t>Commercial Appraisal</t>
        </is>
      </c>
      <c r="I118" s="6" t="inlineStr">
        <is>
          <t>Comm Appr Date</t>
        </is>
      </c>
      <c r="J118" s="6" t="inlineStr">
        <is>
          <t>Title Search</t>
        </is>
      </c>
      <c r="K118" s="6" t="inlineStr">
        <is>
          <t>Title Search Date</t>
        </is>
      </c>
      <c r="L118" s="6" t="inlineStr">
        <is>
          <t>Title Commitment</t>
        </is>
      </c>
      <c r="M118" s="6" t="inlineStr">
        <is>
          <t>Tit Com Date</t>
        </is>
      </c>
      <c r="N118" s="6" t="inlineStr">
        <is>
          <t>Notario Quote</t>
        </is>
      </c>
      <c r="O118" s="6" t="inlineStr">
        <is>
          <t>NQ Date</t>
        </is>
      </c>
      <c r="P118" s="6" t="inlineStr">
        <is>
          <t>Notario Project</t>
        </is>
      </c>
      <c r="Q118" s="6" t="inlineStr">
        <is>
          <t>Closing Disclosure</t>
        </is>
      </c>
      <c r="R118" s="6" t="inlineStr">
        <is>
          <t>CD Date</t>
        </is>
      </c>
      <c r="S118" s="6" t="inlineStr">
        <is>
          <t>FAP</t>
        </is>
      </c>
      <c r="T118" s="6" t="inlineStr">
        <is>
          <t>Seller´s Fideicomiso</t>
        </is>
      </c>
      <c r="U118" s="6" t="inlineStr">
        <is>
          <t>Fideicomiso de Garantia</t>
        </is>
      </c>
      <c r="V118" s="6" t="inlineStr">
        <is>
          <t>POA</t>
        </is>
      </c>
      <c r="W118" s="6" t="inlineStr">
        <is>
          <t>Cadastral Appraisal</t>
        </is>
      </c>
      <c r="X118" s="6" t="inlineStr">
        <is>
          <t>Legal Summary</t>
        </is>
      </c>
      <c r="Y118" s="6" t="inlineStr">
        <is>
          <t>Fideicomitente</t>
        </is>
      </c>
      <c r="Z118" s="6" t="inlineStr">
        <is>
          <t>Amortization Table</t>
        </is>
      </c>
      <c r="AA118" s="6" t="inlineStr">
        <is>
          <t>Comm Appr Sharefile</t>
        </is>
      </c>
      <c r="AB118" s="6" t="inlineStr">
        <is>
          <t>Notice of Acknowledgement</t>
        </is>
      </c>
      <c r="AC118" s="6" t="inlineStr">
        <is>
          <t>Certificados</t>
        </is>
      </c>
      <c r="AD118" s="6" t="inlineStr">
        <is>
          <t>Seller Approved by Fiduciary</t>
        </is>
      </c>
      <c r="AE118" s="6" t="inlineStr">
        <is>
          <t>Item ID (auto generated)</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4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4.75"/>
    <col min="2" max="2" bestFit="1" customWidth="1" width="56.099999999999994"/>
    <col min="3" max="3" bestFit="1" customWidth="1" width="21.45"/>
    <col min="4" max="4" bestFit="1" customWidth="1" width="21.45"/>
    <col min="5" max="5" bestFit="1" customWidth="1" width="24.200000000000003"/>
    <col min="6" max="6" bestFit="1" customWidth="1" width="30.800000000000004"/>
    <col min="7" max="7" bestFit="1" customWidth="1" width="135.3"/>
    <col min="8" max="8" bestFit="1" customWidth="1" width="14.85"/>
    <col min="9" max="9" bestFit="1" customWidth="1" width="11.549999999999999"/>
    <col min="10" max="10" bestFit="1" customWidth="1" width="14.3"/>
    <col min="11" max="11" bestFit="1" customWidth="1" width="18.15"/>
  </cols>
  <sheetData>
    <row customHeight="1" ht="40" r="1">
      <c r="A1" s="126" t="inlineStr">
        <is>
          <t>Master Template</t>
        </is>
      </c>
      <c r="B1" s="126" t="inlineStr">
        <is>
          <t>Updates</t>
        </is>
      </c>
    </row>
    <row customHeight="1" ht="20" r="2">
      <c r="A2" s="127" t="inlineStr">
        <is>
          <t>Item ID</t>
        </is>
      </c>
      <c r="B2" s="127" t="inlineStr">
        <is>
          <t>Item Name</t>
        </is>
      </c>
      <c r="C2" s="127" t="inlineStr">
        <is>
          <t>Content Type</t>
        </is>
      </c>
      <c r="D2" s="127" t="inlineStr">
        <is>
          <t>Content Type</t>
        </is>
      </c>
      <c r="E2" s="127" t="inlineStr">
        <is>
          <t>User</t>
        </is>
      </c>
      <c r="F2" s="127" t="inlineStr">
        <is>
          <t>Created At</t>
        </is>
      </c>
      <c r="G2" s="127" t="inlineStr">
        <is>
          <t>Update Content</t>
        </is>
      </c>
      <c r="H2" s="127" t="inlineStr">
        <is>
          <t>Likes Count</t>
        </is>
      </c>
      <c r="I2" s="127" t="inlineStr">
        <is>
          <t>Asset IDs</t>
        </is>
      </c>
      <c r="J2" s="127" t="inlineStr">
        <is>
          <t>Post ID</t>
        </is>
      </c>
      <c r="K2" s="127" t="inlineStr">
        <is>
          <t>Parent Post ID</t>
        </is>
      </c>
    </row>
    <row customHeight="1" ht="20" r="3">
      <c r="A3" s="128" t="n">
        <v>8508286691</v>
      </c>
      <c r="B3" s="130" t="inlineStr">
        <is>
          <t>824008445 - Fattizzi - Samsara</t>
        </is>
      </c>
      <c r="C3" s="128" t="inlineStr">
        <is>
          <t>Update</t>
        </is>
      </c>
      <c r="D3" s="128" t="inlineStr">
        <is>
          <t/>
        </is>
      </c>
      <c r="E3" s="128" t="inlineStr">
        <is>
          <t>Servando Guzman Casanova</t>
        </is>
      </c>
      <c r="F3" s="128" t="inlineStr">
        <is>
          <t>20/February/2025  10:03:15 AM</t>
        </is>
      </c>
      <c r="G3" s="129" t="inlineStr">
        <is>
          <t>Cedula catastral en tramite segun mail de rosario el 20 de Feb
Note on Commercial Appraisal - Stuck</t>
        </is>
      </c>
      <c r="H3" s="128" t="n">
        <v>0</v>
      </c>
      <c r="I3" s="128" t="inlineStr">
        <is>
          <t/>
        </is>
      </c>
      <c r="J3" s="128" t="n">
        <v>3879339977</v>
      </c>
      <c r="K3" s="128"/>
    </row>
    <row customHeight="1" ht="20" r="4">
      <c r="A4" s="128" t="n">
        <v>8508286691</v>
      </c>
      <c r="B4" s="130" t="inlineStr">
        <is>
          <t>824008445 - Fattizzi - Samsara</t>
        </is>
      </c>
      <c r="C4" s="128" t="inlineStr">
        <is>
          <t>Update</t>
        </is>
      </c>
      <c r="D4" s="128" t="inlineStr">
        <is>
          <t/>
        </is>
      </c>
      <c r="E4" s="128" t="inlineStr">
        <is>
          <t>Servando Guzman Casanova</t>
        </is>
      </c>
      <c r="F4" s="128" t="inlineStr">
        <is>
          <t>20/February/2025  10:03:52 AM</t>
        </is>
      </c>
      <c r="G4" s="129" t="inlineStr">
        <is>
          <t>Cedula catastral en tramite segun mail de Rosario el 20 de Feb
Note on Title Search - Stuck</t>
        </is>
      </c>
      <c r="H4" s="128" t="n">
        <v>0</v>
      </c>
      <c r="I4" s="128" t="inlineStr">
        <is>
          <t/>
        </is>
      </c>
      <c r="J4" s="128" t="n">
        <v>3879343053</v>
      </c>
      <c r="K4" s="128"/>
    </row>
    <row customHeight="1" ht="20" r="5">
      <c r="A5" s="128" t="n">
        <v>8508286737</v>
      </c>
      <c r="B5" s="130" t="inlineStr">
        <is>
          <t>824008504 - Gormley - Samsara</t>
        </is>
      </c>
      <c r="C5" s="128" t="inlineStr">
        <is>
          <t>Update</t>
        </is>
      </c>
      <c r="D5" s="128" t="inlineStr">
        <is>
          <t/>
        </is>
      </c>
      <c r="E5" s="128" t="inlineStr">
        <is>
          <t>Servando Guzman Casanova</t>
        </is>
      </c>
      <c r="F5" s="128" t="inlineStr">
        <is>
          <t>27/February/2025  11:26:07 AM</t>
        </is>
      </c>
      <c r="G5" s="129" t="inlineStr">
        <is>
          <t>Inspection on March 7
Note on Commercial Appraisal - Requested (MoXi)</t>
        </is>
      </c>
      <c r="H5" s="128" t="n">
        <v>0</v>
      </c>
      <c r="I5" s="128" t="inlineStr">
        <is>
          <t/>
        </is>
      </c>
      <c r="J5" s="128" t="n">
        <v>3900156445</v>
      </c>
      <c r="K5" s="128"/>
    </row>
    <row customHeight="1" ht="20" r="6">
      <c r="A6" s="128" t="n">
        <v>8508286762</v>
      </c>
      <c r="B6" s="130" t="inlineStr">
        <is>
          <t>824008490 - Kinney - Samsara</t>
        </is>
      </c>
      <c r="C6" s="128" t="inlineStr">
        <is>
          <t>Update</t>
        </is>
      </c>
      <c r="D6" s="128" t="inlineStr">
        <is>
          <t/>
        </is>
      </c>
      <c r="E6" s="128" t="inlineStr">
        <is>
          <t>Servando Guzman Casanova</t>
        </is>
      </c>
      <c r="F6" s="128" t="inlineStr">
        <is>
          <t>27/February/2025  11:26:13 AM</t>
        </is>
      </c>
      <c r="G6" s="129" t="inlineStr">
        <is>
          <t>Inspection on March 7
Note on Commercial Appraisal - Requested (MoXi)</t>
        </is>
      </c>
      <c r="H6" s="128" t="n">
        <v>0</v>
      </c>
      <c r="I6" s="128" t="inlineStr">
        <is>
          <t/>
        </is>
      </c>
      <c r="J6" s="128" t="n">
        <v>3900156804</v>
      </c>
      <c r="K6" s="128"/>
    </row>
    <row customHeight="1" ht="20" r="7">
      <c r="A7" s="128" t="n">
        <v>8508286762</v>
      </c>
      <c r="B7" s="130" t="inlineStr">
        <is>
          <t>824008490 - Kinney - Samsara</t>
        </is>
      </c>
      <c r="C7" s="128" t="inlineStr">
        <is>
          <t>Update</t>
        </is>
      </c>
      <c r="D7" s="128" t="inlineStr">
        <is>
          <t/>
        </is>
      </c>
      <c r="E7" s="128" t="inlineStr">
        <is>
          <t>Servando Guzman Casanova</t>
        </is>
      </c>
      <c r="F7" s="128" t="inlineStr">
        <is>
          <t>28/February/2025  11:23:32 AM</t>
        </is>
      </c>
      <c r="G7" s="129" t="inlineStr">
        <is>
          <t>Inspection to March 7th
Note on Commercial Appraisal - Requested (MoXi)</t>
        </is>
      </c>
      <c r="H7" s="128" t="n">
        <v>0</v>
      </c>
      <c r="I7" s="128" t="inlineStr">
        <is>
          <t/>
        </is>
      </c>
      <c r="J7" s="128" t="n">
        <v>3903804852</v>
      </c>
      <c r="K7" s="128"/>
    </row>
    <row customHeight="1" ht="20" r="8">
      <c r="A8" s="128" t="n">
        <v>8523133835</v>
      </c>
      <c r="B8" s="130" t="inlineStr">
        <is>
          <t>824008446 - Fromson - Samsara</t>
        </is>
      </c>
      <c r="C8" s="128" t="inlineStr">
        <is>
          <t>Update</t>
        </is>
      </c>
      <c r="D8" s="128" t="inlineStr">
        <is>
          <t/>
        </is>
      </c>
      <c r="E8" s="128" t="inlineStr">
        <is>
          <t>Servando Guzman Casanova</t>
        </is>
      </c>
      <c r="F8" s="128" t="inlineStr">
        <is>
          <t>07/March/2025  11:28:44 AM</t>
        </is>
      </c>
      <c r="G8" s="129" t="inlineStr">
        <is>
          <t>Inspection on March 7th
Note on Commercial Appraisal - Requested (MoXi)</t>
        </is>
      </c>
      <c r="H8" s="128" t="n">
        <v>0</v>
      </c>
      <c r="I8" s="128" t="inlineStr">
        <is>
          <t/>
        </is>
      </c>
      <c r="J8" s="128" t="n">
        <v>3924677972</v>
      </c>
      <c r="K8" s="128"/>
    </row>
    <row customHeight="1" ht="20" r="9">
      <c r="A9" s="128" t="n">
        <v>8533931232</v>
      </c>
      <c r="B9" s="130" t="inlineStr">
        <is>
          <t>824008798 - Murphy - The Village</t>
        </is>
      </c>
      <c r="C9" s="128" t="inlineStr">
        <is>
          <t>Update</t>
        </is>
      </c>
      <c r="D9" s="128" t="inlineStr">
        <is>
          <t/>
        </is>
      </c>
      <c r="E9" s="128" t="inlineStr">
        <is>
          <t>Servando Guzman Casanova</t>
        </is>
      </c>
      <c r="F9" s="128" t="inlineStr">
        <is>
          <t>28/February/2025  11:41:13 AM</t>
        </is>
      </c>
      <c r="G9" s="129" t="inlineStr">
        <is>
          <t>Tower 4th will be ready for inspection until March 20-21st
Note on Commercial Appraisal - Requested (MoXi)</t>
        </is>
      </c>
      <c r="H9" s="128" t="n">
        <v>0</v>
      </c>
      <c r="I9" s="128" t="inlineStr">
        <is>
          <t/>
        </is>
      </c>
      <c r="J9" s="128" t="n">
        <v>3903865764</v>
      </c>
      <c r="K9" s="128"/>
    </row>
    <row customHeight="1" ht="20" r="10">
      <c r="A10" s="128" t="n">
        <v>8533931232</v>
      </c>
      <c r="B10" s="130" t="inlineStr">
        <is>
          <t>824008798 - Murphy - The Village</t>
        </is>
      </c>
      <c r="C10" s="128" t="inlineStr">
        <is>
          <t/>
        </is>
      </c>
      <c r="D10" s="128" t="inlineStr">
        <is>
          <t>Reply</t>
        </is>
      </c>
      <c r="E10" s="128" t="inlineStr">
        <is>
          <t>Sagrario Garcia Marquez</t>
        </is>
      </c>
      <c r="F10" s="128" t="inlineStr">
        <is>
          <t>18/March/2025  04:07:18 PM</t>
        </is>
      </c>
      <c r="G10" s="129" t="inlineStr">
        <is>
          <t>The inspection of the property will be on 04/04/2025</t>
        </is>
      </c>
      <c r="H10" s="128" t="n">
        <v>0</v>
      </c>
      <c r="I10" s="128" t="inlineStr">
        <is>
          <t/>
        </is>
      </c>
      <c r="J10" s="128" t="n">
        <v>3956723653</v>
      </c>
      <c r="K10" s="128" t="n">
        <v>3903865764</v>
      </c>
    </row>
    <row customHeight="1" ht="20" r="11">
      <c r="A11" s="128" t="n">
        <v>8538982367</v>
      </c>
      <c r="B11" s="130" t="inlineStr">
        <is>
          <t>824008440 - Crumley - Samsara</t>
        </is>
      </c>
      <c r="C11" s="128" t="inlineStr">
        <is>
          <t>Update</t>
        </is>
      </c>
      <c r="D11" s="128" t="inlineStr">
        <is>
          <t/>
        </is>
      </c>
      <c r="E11" s="128" t="inlineStr">
        <is>
          <t>Servando Guzman Casanova</t>
        </is>
      </c>
      <c r="F11" s="128" t="inlineStr">
        <is>
          <t>26/March/2025  09:39:39 PM</t>
        </is>
      </c>
      <c r="G11" s="129" t="inlineStr">
        <is>
          <t>+ Chapman</t>
        </is>
      </c>
      <c r="H11" s="128" t="n">
        <v>0</v>
      </c>
      <c r="I11" s="128" t="inlineStr">
        <is>
          <t/>
        </is>
      </c>
      <c r="J11" s="128" t="n">
        <v>3983453683</v>
      </c>
      <c r="K11" s="128"/>
    </row>
    <row customHeight="1" ht="20" r="12">
      <c r="A12" s="128" t="n">
        <v>8539003610</v>
      </c>
      <c r="B12" s="130" t="inlineStr">
        <is>
          <t>824008827 - Croft - General Retail</t>
        </is>
      </c>
      <c r="C12" s="128" t="inlineStr">
        <is>
          <t>Update</t>
        </is>
      </c>
      <c r="D12" s="128" t="inlineStr">
        <is>
          <t/>
        </is>
      </c>
      <c r="E12" s="128" t="inlineStr">
        <is>
          <t>Servando Guzman Casanova</t>
        </is>
      </c>
      <c r="F12" s="128" t="inlineStr">
        <is>
          <t>21/February/2025  11:08:54 AM</t>
        </is>
      </c>
      <c r="G12" s="129" t="inlineStr">
        <is>
          <t>Pending contact to perform the inspection
Note on Commercial Appraisal - Stuck</t>
        </is>
      </c>
      <c r="H12" s="128" t="n">
        <v>0</v>
      </c>
      <c r="I12" s="128" t="inlineStr">
        <is>
          <t/>
        </is>
      </c>
      <c r="J12" s="128" t="n">
        <v>3883386590</v>
      </c>
      <c r="K12" s="128"/>
    </row>
    <row customHeight="1" ht="20" r="13">
      <c r="A13" s="128" t="n">
        <v>8539003610</v>
      </c>
      <c r="B13" s="130" t="inlineStr">
        <is>
          <t>824008827 - Croft - General Retail</t>
        </is>
      </c>
      <c r="C13" s="128" t="inlineStr">
        <is>
          <t/>
        </is>
      </c>
      <c r="D13" s="128" t="inlineStr">
        <is>
          <t>Reply</t>
        </is>
      </c>
      <c r="E13" s="128" t="inlineStr">
        <is>
          <t>Valeria Méndez Villanueva</t>
        </is>
      </c>
      <c r="F13" s="128" t="inlineStr">
        <is>
          <t>21/February/2025  01:08:36 PM</t>
        </is>
      </c>
      <c r="G13" s="129" t="inlineStr">
        <is>
          <t>The clients informed me on February 10 that they were not going to continue with the closing and that they had already informed Carl and Linda, can you please clarify.</t>
        </is>
      </c>
      <c r="H13" s="128" t="n">
        <v>1</v>
      </c>
      <c r="I13" s="128" t="inlineStr">
        <is>
          <t/>
        </is>
      </c>
      <c r="J13" s="128" t="n">
        <v>3883889436</v>
      </c>
      <c r="K13" s="128" t="n">
        <v>3883386590</v>
      </c>
    </row>
    <row customHeight="1" ht="20" r="14">
      <c r="A14" s="128" t="n">
        <v>8539003610</v>
      </c>
      <c r="B14" s="130" t="inlineStr">
        <is>
          <t>824008827 - Croft - General Retail</t>
        </is>
      </c>
      <c r="C14" s="128" t="inlineStr">
        <is>
          <t>Update</t>
        </is>
      </c>
      <c r="D14" s="128" t="inlineStr">
        <is>
          <t/>
        </is>
      </c>
      <c r="E14" s="128" t="inlineStr">
        <is>
          <t>Servando Guzman Casanova</t>
        </is>
      </c>
      <c r="F14" s="128" t="inlineStr">
        <is>
          <t>21/February/2025  04:38:44 PM</t>
        </is>
      </c>
      <c r="G14" s="129" t="inlineStr">
        <is>
          <t>The contact was not provided, therefore the inspection was not done
Note on Commercial Appraisal -</t>
        </is>
      </c>
      <c r="H14" s="128" t="n">
        <v>0</v>
      </c>
      <c r="I14" s="128" t="inlineStr">
        <is>
          <t/>
        </is>
      </c>
      <c r="J14" s="128" t="n">
        <v>3884549349</v>
      </c>
      <c r="K14" s="128"/>
    </row>
    <row customHeight="1" ht="20" r="15">
      <c r="A15" s="128" t="n">
        <v>8539017185</v>
      </c>
      <c r="B15" s="130" t="inlineStr">
        <is>
          <t>824008830 - Wells - General Retail</t>
        </is>
      </c>
      <c r="C15" s="128" t="inlineStr">
        <is>
          <t>Update</t>
        </is>
      </c>
      <c r="D15" s="128" t="inlineStr">
        <is>
          <t/>
        </is>
      </c>
      <c r="E15" s="128" t="inlineStr">
        <is>
          <t>Servando Guzman Casanova</t>
        </is>
      </c>
      <c r="F15" s="128" t="inlineStr">
        <is>
          <t>21/February/2025  04:37:58 PM</t>
        </is>
      </c>
      <c r="G15" s="129" t="inlineStr">
        <is>
          <t>Appraiser mentioned that the draft will be issued on Tuesday Feb 25th
Note on Commercial Appraisal - Requested (MoXi)</t>
        </is>
      </c>
      <c r="H15" s="128" t="n">
        <v>0</v>
      </c>
      <c r="I15" s="128" t="inlineStr">
        <is>
          <t/>
        </is>
      </c>
      <c r="J15" s="128" t="n">
        <v>3884548180</v>
      </c>
      <c r="K15" s="128"/>
    </row>
    <row customHeight="1" ht="20" r="16">
      <c r="A16" s="128" t="n">
        <v>8539023729</v>
      </c>
      <c r="B16" s="130" t="inlineStr">
        <is>
          <t>824008850 - Silveroli - Generail Retail</t>
        </is>
      </c>
      <c r="C16" s="128" t="inlineStr">
        <is>
          <t>Update</t>
        </is>
      </c>
      <c r="D16" s="128" t="inlineStr">
        <is>
          <t/>
        </is>
      </c>
      <c r="E16" s="128" t="inlineStr">
        <is>
          <t>Servando Guzman Casanova</t>
        </is>
      </c>
      <c r="F16" s="128" t="inlineStr">
        <is>
          <t>28/February/2025  12:05:49 PM</t>
        </is>
      </c>
      <c r="G16" s="129" t="inlineStr">
        <is>
          <t>Inspection done on the week ended on Feb 28th
Note on Commercial Appraisal - Requested (MoXi)</t>
        </is>
      </c>
      <c r="H16" s="128" t="n">
        <v>0</v>
      </c>
      <c r="I16" s="128" t="inlineStr">
        <is>
          <t/>
        </is>
      </c>
      <c r="J16" s="128" t="n">
        <v>3904000703</v>
      </c>
      <c r="K16" s="128"/>
    </row>
    <row customHeight="1" ht="20" r="17">
      <c r="A17" s="128" t="n">
        <v>8539026176</v>
      </c>
      <c r="B17" s="130" t="inlineStr">
        <is>
          <t>824008838 - Shyam -</t>
        </is>
      </c>
      <c r="C17" s="128" t="inlineStr">
        <is>
          <t>Update</t>
        </is>
      </c>
      <c r="D17" s="128" t="inlineStr">
        <is>
          <t/>
        </is>
      </c>
      <c r="E17" s="128" t="inlineStr">
        <is>
          <t>Sagrario Garcia Marquez</t>
        </is>
      </c>
      <c r="F17" s="128" t="inlineStr">
        <is>
          <t>31/March/2025  06:32:45 PM</t>
        </is>
      </c>
      <c r="G17" s="129" t="inlineStr">
        <is>
          <t>We received today 03/31/2025 the POA notarized and apostilled and is pending the translation to spanish
Note on POA - In process</t>
        </is>
      </c>
      <c r="H17" s="128" t="n">
        <v>0</v>
      </c>
      <c r="I17" s="128" t="inlineStr">
        <is>
          <t/>
        </is>
      </c>
      <c r="J17" s="128" t="n">
        <v>3995849925</v>
      </c>
      <c r="K17" s="128"/>
    </row>
    <row customHeight="1" ht="20" r="18">
      <c r="A18" s="128" t="n">
        <v>8539028478</v>
      </c>
      <c r="B18" s="130" t="inlineStr">
        <is>
          <t>824008655 - Dokimos - General Retail</t>
        </is>
      </c>
      <c r="C18" s="128" t="inlineStr">
        <is>
          <t>Update</t>
        </is>
      </c>
      <c r="D18" s="128" t="inlineStr">
        <is>
          <t/>
        </is>
      </c>
      <c r="E18" s="128" t="inlineStr">
        <is>
          <t>Ricardo Miguel Hernandez Sosa</t>
        </is>
      </c>
      <c r="F18" s="128" t="inlineStr">
        <is>
          <t>07/March/2025  10:47:06 AM</t>
        </is>
      </c>
      <c r="G18" s="129" t="inlineStr">
        <is>
          <t>Quote must be uploaded
Note on Notario Quote - Received &amp; Uploaded to Encompass</t>
        </is>
      </c>
      <c r="H18" s="128" t="n">
        <v>0</v>
      </c>
      <c r="I18" s="128" t="inlineStr">
        <is>
          <t/>
        </is>
      </c>
      <c r="J18" s="128" t="n">
        <v>3924464996</v>
      </c>
      <c r="K18" s="128"/>
    </row>
    <row customHeight="1" ht="20" r="19">
      <c r="A19" s="128" t="n">
        <v>8539028478</v>
      </c>
      <c r="B19" s="130" t="inlineStr">
        <is>
          <t>824008655 - Dokimos - General Retail</t>
        </is>
      </c>
      <c r="C19" s="128" t="inlineStr">
        <is>
          <t>Update</t>
        </is>
      </c>
      <c r="D19" s="128" t="inlineStr">
        <is>
          <t/>
        </is>
      </c>
      <c r="E19" s="128" t="inlineStr">
        <is>
          <t>Ricardo Miguel Hernandez Sosa</t>
        </is>
      </c>
      <c r="F19" s="128" t="inlineStr">
        <is>
          <t>07/March/2025  10:47:22 AM</t>
        </is>
      </c>
      <c r="G19" s="129" t="inlineStr">
        <is>
          <t>Notary is working on them
Note on Notario Project - Stuck</t>
        </is>
      </c>
      <c r="H19" s="128" t="n">
        <v>0</v>
      </c>
      <c r="I19" s="128" t="inlineStr">
        <is>
          <t/>
        </is>
      </c>
      <c r="J19" s="128" t="n">
        <v>3924466045</v>
      </c>
      <c r="K19" s="128"/>
    </row>
    <row customHeight="1" ht="20" r="20">
      <c r="A20" s="128" t="n">
        <v>8539035283</v>
      </c>
      <c r="B20" s="130" t="inlineStr">
        <is>
          <t>824008781 - LeJeune - The Village</t>
        </is>
      </c>
      <c r="C20" s="128" t="inlineStr">
        <is>
          <t>Update</t>
        </is>
      </c>
      <c r="D20" s="128" t="inlineStr">
        <is>
          <t/>
        </is>
      </c>
      <c r="E20" s="128" t="inlineStr">
        <is>
          <t>Servando Guzman Casanova</t>
        </is>
      </c>
      <c r="F20" s="128" t="inlineStr">
        <is>
          <t>28/February/2025  11:37:52 AM</t>
        </is>
      </c>
      <c r="G20" s="129" t="inlineStr">
        <is>
          <t>Inspection is estimated until March 20-21
Note on Commercial Appraisal - Requested (MoXi)</t>
        </is>
      </c>
      <c r="H20" s="128" t="n">
        <v>0</v>
      </c>
      <c r="I20" s="128" t="inlineStr">
        <is>
          <t/>
        </is>
      </c>
      <c r="J20" s="128" t="n">
        <v>3903854773</v>
      </c>
      <c r="K20" s="128"/>
    </row>
    <row customHeight="1" ht="20" r="21">
      <c r="A21" s="128" t="n">
        <v>8539035283</v>
      </c>
      <c r="B21" s="130" t="inlineStr">
        <is>
          <t>824008781 - LeJeune - The Village</t>
        </is>
      </c>
      <c r="C21" s="128" t="inlineStr">
        <is>
          <t/>
        </is>
      </c>
      <c r="D21" s="128" t="inlineStr">
        <is>
          <t>Reply</t>
        </is>
      </c>
      <c r="E21" s="128" t="inlineStr">
        <is>
          <t>Sagrario Garcia Marquez</t>
        </is>
      </c>
      <c r="F21" s="128" t="inlineStr">
        <is>
          <t>18/March/2025  04:06:11 PM</t>
        </is>
      </c>
      <c r="G21" s="129" t="inlineStr">
        <is>
          <t>the inspection of the property will be on 04/04/2025</t>
        </is>
      </c>
      <c r="H21" s="128" t="n">
        <v>0</v>
      </c>
      <c r="I21" s="128" t="inlineStr">
        <is>
          <t/>
        </is>
      </c>
      <c r="J21" s="128" t="n">
        <v>3956720487</v>
      </c>
      <c r="K21" s="128" t="n">
        <v>3903854773</v>
      </c>
    </row>
    <row customHeight="1" ht="20" r="22">
      <c r="A22" s="128" t="n">
        <v>8539050432</v>
      </c>
      <c r="B22" s="130" t="inlineStr">
        <is>
          <t>824008768 - Winiarz - The Village</t>
        </is>
      </c>
      <c r="C22" s="128" t="inlineStr">
        <is>
          <t>Update</t>
        </is>
      </c>
      <c r="D22" s="128" t="inlineStr">
        <is>
          <t/>
        </is>
      </c>
      <c r="E22" s="128" t="inlineStr">
        <is>
          <t>Servando Guzman Casanova</t>
        </is>
      </c>
      <c r="F22" s="128" t="inlineStr">
        <is>
          <t>28/February/2025  11:40:16 AM</t>
        </is>
      </c>
      <c r="G22" s="129" t="inlineStr">
        <is>
          <t>Tower 4th, inspection can be done until March 20-21
Note on Commercial Appraisal - Not ready to requested</t>
        </is>
      </c>
      <c r="H22" s="128" t="n">
        <v>0</v>
      </c>
      <c r="I22" s="128" t="inlineStr">
        <is>
          <t/>
        </is>
      </c>
      <c r="J22" s="128" t="n">
        <v>3903862796</v>
      </c>
      <c r="K22" s="128"/>
    </row>
    <row customHeight="1" ht="20" r="23">
      <c r="A23" s="128" t="n">
        <v>8539056352</v>
      </c>
      <c r="B23" s="130" t="inlineStr">
        <is>
          <t>84008614 - Meadors - General Retail</t>
        </is>
      </c>
      <c r="C23" s="128" t="inlineStr">
        <is>
          <t>Update</t>
        </is>
      </c>
      <c r="D23" s="128" t="inlineStr">
        <is>
          <t/>
        </is>
      </c>
      <c r="E23" s="128" t="inlineStr">
        <is>
          <t>Servando Guzman Casanova</t>
        </is>
      </c>
      <c r="F23" s="128" t="inlineStr">
        <is>
          <t>21/February/2025  11:46:18 AM</t>
        </is>
      </c>
      <c r="G23" s="129" t="inlineStr">
        <is>
          <t>??????
Note on FAP - Received</t>
        </is>
      </c>
      <c r="H23" s="128" t="n">
        <v>0</v>
      </c>
      <c r="I23" s="128" t="inlineStr">
        <is>
          <t/>
        </is>
      </c>
      <c r="J23" s="128" t="n">
        <v>3883519769</v>
      </c>
      <c r="K23" s="128"/>
    </row>
    <row customHeight="1" ht="20" r="24">
      <c r="A24" s="128" t="n">
        <v>8539059913</v>
      </c>
      <c r="B24" s="130" t="inlineStr">
        <is>
          <t>824008730 - Tywoniak - General Retail</t>
        </is>
      </c>
      <c r="C24" s="128" t="inlineStr">
        <is>
          <t>Update</t>
        </is>
      </c>
      <c r="D24" s="128" t="inlineStr">
        <is>
          <t/>
        </is>
      </c>
      <c r="E24" s="128" t="inlineStr">
        <is>
          <t>Servando Guzman Casanova</t>
        </is>
      </c>
      <c r="F24" s="128" t="inlineStr">
        <is>
          <t>21/February/2025  04:36:07 PM</t>
        </is>
      </c>
      <c r="G24" s="129" t="inlineStr">
        <is>
          <t>Pending Manifestation so the appraiser can issue the draft
Note on Commercial Appraisal - Stuck</t>
        </is>
      </c>
      <c r="H24" s="128" t="n">
        <v>0</v>
      </c>
      <c r="I24" s="128" t="inlineStr">
        <is>
          <t/>
        </is>
      </c>
      <c r="J24" s="128" t="n">
        <v>3884545348</v>
      </c>
      <c r="K24" s="128"/>
    </row>
    <row customHeight="1" ht="20" r="25">
      <c r="A25" s="128" t="n">
        <v>8539066355</v>
      </c>
      <c r="B25" s="130" t="inlineStr">
        <is>
          <t>824008812 - Ament Purchase - General Retail</t>
        </is>
      </c>
      <c r="C25" s="128" t="inlineStr">
        <is>
          <t>Update</t>
        </is>
      </c>
      <c r="D25" s="128" t="inlineStr">
        <is>
          <t/>
        </is>
      </c>
      <c r="E25" s="128" t="inlineStr">
        <is>
          <t>Servando Guzman Casanova</t>
        </is>
      </c>
      <c r="F25" s="128" t="inlineStr">
        <is>
          <t>21/February/2025  04:42:39 PM</t>
        </is>
      </c>
      <c r="G25" s="129" t="inlineStr">
        <is>
          <t>Appraiser will issue the draft report on Feb 25th
Note on Commercial Appraisal - Requested (MoXi)</t>
        </is>
      </c>
      <c r="H25" s="128" t="n">
        <v>0</v>
      </c>
      <c r="I25" s="128" t="inlineStr">
        <is>
          <t/>
        </is>
      </c>
      <c r="J25" s="128" t="n">
        <v>3884556058</v>
      </c>
      <c r="K25" s="128"/>
    </row>
    <row customHeight="1" ht="20" r="26">
      <c r="A26" s="128" t="n">
        <v>8539066355</v>
      </c>
      <c r="B26" s="130" t="inlineStr">
        <is>
          <t>824008812 - Ament Purchase - General Retail</t>
        </is>
      </c>
      <c r="C26" s="128" t="inlineStr">
        <is>
          <t>Update</t>
        </is>
      </c>
      <c r="D26" s="128" t="inlineStr">
        <is>
          <t/>
        </is>
      </c>
      <c r="E26" s="128" t="inlineStr">
        <is>
          <t>Servando Guzman Casanova</t>
        </is>
      </c>
      <c r="F26" s="128" t="inlineStr">
        <is>
          <t>21/February/2025  04:44:48 PM</t>
        </is>
      </c>
      <c r="G26" s="129" t="inlineStr">
        <is>
          <t>Appraiser will issue the draft report on Feb 25th
Note on Commercial Appraisal - Awaiting Final Report (MoXi)</t>
        </is>
      </c>
      <c r="H26" s="128" t="n">
        <v>0</v>
      </c>
      <c r="I26" s="128" t="inlineStr">
        <is>
          <t/>
        </is>
      </c>
      <c r="J26" s="128" t="n">
        <v>3884559412</v>
      </c>
      <c r="K26" s="128"/>
    </row>
    <row customHeight="1" ht="20" r="27">
      <c r="A27" s="128" t="n">
        <v>8539068960</v>
      </c>
      <c r="B27" s="130" t="inlineStr">
        <is>
          <t>824008761 - Pierre - General Retail</t>
        </is>
      </c>
      <c r="C27" s="128" t="inlineStr">
        <is>
          <t>Update</t>
        </is>
      </c>
      <c r="D27" s="128" t="inlineStr">
        <is>
          <t/>
        </is>
      </c>
      <c r="E27" s="128" t="inlineStr">
        <is>
          <t>Servando Guzman Casanova</t>
        </is>
      </c>
      <c r="F27" s="128" t="inlineStr">
        <is>
          <t>21/February/2025  04:40:02 PM</t>
        </is>
      </c>
      <c r="G27" s="129" t="inlineStr">
        <is>
          <t>Appraiser will issue the draft report on Feb 25th
Note on Commercial Appraisal - Requested (MoXi)</t>
        </is>
      </c>
      <c r="H27" s="128" t="n">
        <v>0</v>
      </c>
      <c r="I27" s="128" t="inlineStr">
        <is>
          <t/>
        </is>
      </c>
      <c r="J27" s="128" t="n">
        <v>3884551277</v>
      </c>
      <c r="K27" s="128"/>
    </row>
    <row customHeight="1" ht="20" r="28">
      <c r="A28" s="128" t="n">
        <v>8539068960</v>
      </c>
      <c r="B28" s="130" t="inlineStr">
        <is>
          <t>824008761 - Pierre - General Retail</t>
        </is>
      </c>
      <c r="C28" s="128" t="inlineStr">
        <is>
          <t>Update</t>
        </is>
      </c>
      <c r="D28" s="128" t="inlineStr">
        <is>
          <t/>
        </is>
      </c>
      <c r="E28" s="128" t="inlineStr">
        <is>
          <t>Servando Guzman Casanova</t>
        </is>
      </c>
      <c r="F28" s="128" t="inlineStr">
        <is>
          <t>21/February/2025  04:46:38 PM</t>
        </is>
      </c>
      <c r="G28" s="129" t="inlineStr">
        <is>
          <t>Appraiser will issue the draft report on Feb 25th
Note on Commercial Appraisal - Awaiting Final Report (MoXi)</t>
        </is>
      </c>
      <c r="H28" s="128" t="n">
        <v>0</v>
      </c>
      <c r="I28" s="128" t="inlineStr">
        <is>
          <t/>
        </is>
      </c>
      <c r="J28" s="128" t="n">
        <v>3884562094</v>
      </c>
      <c r="K28" s="128"/>
    </row>
    <row customHeight="1" ht="20" r="29">
      <c r="A29" s="128" t="n">
        <v>8539073230</v>
      </c>
      <c r="B29" s="130" t="inlineStr">
        <is>
          <t>8240008348 - Ejde - General Retail</t>
        </is>
      </c>
      <c r="C29" s="128" t="inlineStr">
        <is>
          <t>Update</t>
        </is>
      </c>
      <c r="D29" s="128" t="inlineStr">
        <is>
          <t/>
        </is>
      </c>
      <c r="E29" s="128" t="inlineStr">
        <is>
          <t>MARIANA PINEDA PASQUEL</t>
        </is>
      </c>
      <c r="F29" s="128" t="inlineStr">
        <is>
          <t>21/February/2025  06:04:58 PM</t>
        </is>
      </c>
      <c r="G29" s="129" t="inlineStr">
        <is>
          <t>El expediente de los Sres. Ejde está parado por el momento, todavía no tiene la desarrolladora el régimen de propiedad en condominio, creen que lo podrían estar recibiendo en abril.</t>
        </is>
      </c>
      <c r="H29" s="128" t="n">
        <v>0</v>
      </c>
      <c r="I29" s="128" t="inlineStr">
        <is>
          <t/>
        </is>
      </c>
      <c r="J29" s="128" t="n">
        <v>3884668170</v>
      </c>
      <c r="K29" s="128"/>
    </row>
    <row customHeight="1" ht="20" r="30">
      <c r="A30" s="128" t="n">
        <v>8549924248</v>
      </c>
      <c r="B30" s="130" t="inlineStr">
        <is>
          <t>824008767 - Selmon Partnership The Village</t>
        </is>
      </c>
      <c r="C30" s="128" t="inlineStr">
        <is>
          <t>Update</t>
        </is>
      </c>
      <c r="D30" s="128" t="inlineStr">
        <is>
          <t/>
        </is>
      </c>
      <c r="E30" s="128" t="inlineStr">
        <is>
          <t>Servando Guzman Casanova</t>
        </is>
      </c>
      <c r="F30" s="128" t="inlineStr">
        <is>
          <t>28/February/2025  11:40:44 AM</t>
        </is>
      </c>
      <c r="G30" s="129" t="inlineStr">
        <is>
          <t>tower 5 is not ready for inspection
Note on Commercial Appraisal - Not ready to requested</t>
        </is>
      </c>
      <c r="H30" s="128" t="n">
        <v>0</v>
      </c>
      <c r="I30" s="128" t="inlineStr">
        <is>
          <t/>
        </is>
      </c>
      <c r="J30" s="128" t="n">
        <v>3903864289</v>
      </c>
      <c r="K30" s="128"/>
    </row>
    <row customHeight="1" ht="20" r="31">
      <c r="A31" s="128" t="n">
        <v>8597371653</v>
      </c>
      <c r="B31" s="130" t="inlineStr">
        <is>
          <t>824008914 - Michael Roberts - General Retail</t>
        </is>
      </c>
      <c r="C31" s="128" t="inlineStr">
        <is>
          <t>Update</t>
        </is>
      </c>
      <c r="D31" s="128" t="inlineStr">
        <is>
          <t/>
        </is>
      </c>
      <c r="E31" s="128" t="inlineStr">
        <is>
          <t>Amanda Yee</t>
        </is>
      </c>
      <c r="F31" s="128" t="inlineStr">
        <is>
          <t>06/March/2025  01:12:12 PM</t>
        </is>
      </c>
      <c r="G31" s="129" t="inlineStr">
        <is>
          <t>Can we move this file to "on hold"? @Servando Guzman Casanova. This file is not assigned because there is no property selected yet.</t>
        </is>
      </c>
      <c r="H31" s="128" t="n">
        <v>0</v>
      </c>
      <c r="I31" s="128" t="inlineStr">
        <is>
          <t/>
        </is>
      </c>
      <c r="J31" s="128" t="n">
        <v>3921499361</v>
      </c>
      <c r="K31" s="128"/>
    </row>
    <row customHeight="1" ht="20" r="32">
      <c r="A32" s="128" t="n">
        <v>8807289532</v>
      </c>
      <c r="B32" s="130" t="inlineStr">
        <is>
          <t>824008879 - David Glantz - General Retail</t>
        </is>
      </c>
      <c r="C32" s="128" t="inlineStr">
        <is>
          <t>Update</t>
        </is>
      </c>
      <c r="D32" s="128" t="inlineStr">
        <is>
          <t/>
        </is>
      </c>
      <c r="E32" s="128" t="inlineStr">
        <is>
          <t>Beatriz Meléndez</t>
        </is>
      </c>
      <c r="F32" s="128" t="inlineStr">
        <is>
          <t>10/April/2025  11:54:37 PM</t>
        </is>
      </c>
      <c r="G32" s="129" t="inlineStr">
        <is>
          <t>Bajío
Note on Fideicomitente -</t>
        </is>
      </c>
      <c r="H32" s="128" t="n">
        <v>0</v>
      </c>
      <c r="I32" s="128" t="inlineStr">
        <is>
          <t/>
        </is>
      </c>
      <c r="J32" s="128" t="n">
        <v>4029671370</v>
      </c>
      <c r="K32" s="128"/>
    </row>
    <row customHeight="1" ht="20" r="33">
      <c r="A33" s="128" t="n">
        <v>8807294159</v>
      </c>
      <c r="B33" s="130" t="inlineStr">
        <is>
          <t>82008849 - Steven Ehrlich - General Retail</t>
        </is>
      </c>
      <c r="C33" s="128" t="inlineStr">
        <is>
          <t>Update</t>
        </is>
      </c>
      <c r="D33" s="128" t="inlineStr">
        <is>
          <t/>
        </is>
      </c>
      <c r="E33" s="128" t="inlineStr">
        <is>
          <t>Servando Guzman Casanova</t>
        </is>
      </c>
      <c r="F33" s="128" t="inlineStr">
        <is>
          <t>23/July/2025  11:48:24 AM</t>
        </is>
      </c>
      <c r="G33" s="129" t="inlineStr">
        <is>
          <t>Falta subir notario quote a encompass
Note on Notario Quote - Received &amp; Uploaded to Encompass</t>
        </is>
      </c>
      <c r="H33" s="128" t="n">
        <v>0</v>
      </c>
      <c r="I33" s="128" t="inlineStr">
        <is>
          <t/>
        </is>
      </c>
      <c r="J33" s="128" t="n">
        <v>4342552210</v>
      </c>
      <c r="K33" s="128"/>
    </row>
    <row customHeight="1" ht="20" r="34">
      <c r="A34" s="128" t="n">
        <v>8807294159</v>
      </c>
      <c r="B34" s="130" t="inlineStr">
        <is>
          <t>82008849 - Steven Ehrlich - General Retail</t>
        </is>
      </c>
      <c r="C34" s="128" t="inlineStr">
        <is>
          <t/>
        </is>
      </c>
      <c r="D34" s="128" t="inlineStr">
        <is>
          <t>Reply</t>
        </is>
      </c>
      <c r="E34" s="128" t="inlineStr">
        <is>
          <t>Servando Guzman Casanova</t>
        </is>
      </c>
      <c r="F34" s="128" t="inlineStr">
        <is>
          <t>23/July/2025  11:49:20 AM</t>
        </is>
      </c>
      <c r="G34" s="129" t="inlineStr">
        <is>
          <t>@Ricardo Miguel Hernandez Sosa falta subir Notario quote a encompass. </t>
        </is>
      </c>
      <c r="H34" s="128" t="n">
        <v>0</v>
      </c>
      <c r="I34" s="128" t="inlineStr">
        <is>
          <t/>
        </is>
      </c>
      <c r="J34" s="128" t="n">
        <v>4342555263</v>
      </c>
      <c r="K34" s="128" t="n">
        <v>4342552210</v>
      </c>
    </row>
    <row customHeight="1" ht="20" r="35">
      <c r="A35" s="128" t="n">
        <v>8807294159</v>
      </c>
      <c r="B35" s="130" t="inlineStr">
        <is>
          <t>82008849 - Steven Ehrlich - General Retail</t>
        </is>
      </c>
      <c r="C35" s="128" t="inlineStr">
        <is>
          <t>Update</t>
        </is>
      </c>
      <c r="D35" s="128" t="inlineStr">
        <is>
          <t/>
        </is>
      </c>
      <c r="E35" s="128" t="inlineStr">
        <is>
          <t>Servando Guzman Casanova</t>
        </is>
      </c>
      <c r="F35" s="128" t="inlineStr">
        <is>
          <t>23/July/2025  12:28:01 PM</t>
        </is>
      </c>
      <c r="G35" s="129" t="inlineStr">
        <is>
          <t>Falta actualizar valor del avalúo que impacta el Predial final.
Note on Notario Quote - 2015 Updated (MoXi)</t>
        </is>
      </c>
      <c r="H35" s="128" t="n">
        <v>0</v>
      </c>
      <c r="I35" s="128" t="inlineStr">
        <is>
          <t/>
        </is>
      </c>
      <c r="J35" s="128" t="n">
        <v>4342698988</v>
      </c>
      <c r="K35" s="128"/>
    </row>
    <row customHeight="1" ht="20" r="36">
      <c r="A36" s="128" t="n">
        <v>8878573478</v>
      </c>
      <c r="B36" s="130" t="inlineStr">
        <is>
          <t>824008748 - Estes - Village</t>
        </is>
      </c>
      <c r="C36" s="128" t="inlineStr">
        <is>
          <t>Update</t>
        </is>
      </c>
      <c r="D36" s="128" t="inlineStr">
        <is>
          <t/>
        </is>
      </c>
      <c r="E36" s="128" t="inlineStr">
        <is>
          <t>Servando Guzman Casanova</t>
        </is>
      </c>
      <c r="F36" s="128" t="inlineStr">
        <is>
          <t>12/May/2025  12:53:21 PM</t>
        </is>
      </c>
      <c r="G36" s="129" t="inlineStr">
        <is>
          <t>Tower 3
Note on Commercial Appraisal - Not ready to requested</t>
        </is>
      </c>
      <c r="H36" s="128" t="n">
        <v>0</v>
      </c>
      <c r="I36" s="128" t="inlineStr">
        <is>
          <t/>
        </is>
      </c>
      <c r="J36" s="128" t="n">
        <v>4112285847</v>
      </c>
      <c r="K36" s="128"/>
    </row>
    <row customHeight="1" ht="20" r="37">
      <c r="A37" s="128" t="n">
        <v>8950079787</v>
      </c>
      <c r="B37" s="130" t="inlineStr">
        <is>
          <t>824008817 - Brett Clark - The Village</t>
        </is>
      </c>
      <c r="C37" s="128" t="inlineStr">
        <is>
          <t>Update</t>
        </is>
      </c>
      <c r="D37" s="128" t="inlineStr">
        <is>
          <t/>
        </is>
      </c>
      <c r="E37" s="128" t="inlineStr">
        <is>
          <t>Servando Guzman Casanova</t>
        </is>
      </c>
      <c r="F37" s="128" t="inlineStr">
        <is>
          <t>16/May/2025  06:16:26 PM</t>
        </is>
      </c>
      <c r="G37" s="129" t="inlineStr">
        <is>
          <t>Torre 5
Note on Commercial Appraisal - Not ready to requested</t>
        </is>
      </c>
      <c r="H37" s="128" t="n">
        <v>0</v>
      </c>
      <c r="I37" s="128" t="inlineStr">
        <is>
          <t/>
        </is>
      </c>
      <c r="J37" s="128" t="n">
        <v>4128167242</v>
      </c>
      <c r="K37" s="128"/>
    </row>
    <row customHeight="1" ht="20" r="38">
      <c r="A38" s="128" t="n">
        <v>8950085376</v>
      </c>
      <c r="B38" s="130" t="inlineStr">
        <is>
          <t>824008858 - Raymond Besser - The Village</t>
        </is>
      </c>
      <c r="C38" s="128" t="inlineStr">
        <is>
          <t>Update</t>
        </is>
      </c>
      <c r="D38" s="128" t="inlineStr">
        <is>
          <t/>
        </is>
      </c>
      <c r="E38" s="128" t="inlineStr">
        <is>
          <t>Servando Guzman Casanova</t>
        </is>
      </c>
      <c r="F38" s="128" t="inlineStr">
        <is>
          <t>09/May/2025  12:45:29 PM</t>
        </is>
      </c>
      <c r="G38" s="129" t="inlineStr">
        <is>
          <t>Torre 5
Note on Commercial Appraisal - Stuck</t>
        </is>
      </c>
      <c r="H38" s="128" t="n">
        <v>0</v>
      </c>
      <c r="I38" s="128" t="inlineStr">
        <is>
          <t/>
        </is>
      </c>
      <c r="J38" s="128" t="n">
        <v>4106569003</v>
      </c>
      <c r="K38" s="128"/>
    </row>
    <row customHeight="1" ht="20" r="39">
      <c r="A39" s="128" t="n">
        <v>9169342893</v>
      </c>
      <c r="B39" s="130" t="inlineStr">
        <is>
          <t>824008770 - Stephen Medina - The Village</t>
        </is>
      </c>
      <c r="C39" s="128" t="inlineStr">
        <is>
          <t>Update</t>
        </is>
      </c>
      <c r="D39" s="128" t="inlineStr">
        <is>
          <t/>
        </is>
      </c>
      <c r="E39" s="128" t="inlineStr">
        <is>
          <t>Servando Guzman Casanova</t>
        </is>
      </c>
      <c r="F39" s="128" t="inlineStr">
        <is>
          <t>16/May/2025  12:28:08 PM</t>
        </is>
      </c>
      <c r="G39" s="129" t="inlineStr">
        <is>
          <t>Tower 5
Note on Commercial Appraisal -</t>
        </is>
      </c>
      <c r="H39" s="128" t="n">
        <v>0</v>
      </c>
      <c r="I39" s="128" t="inlineStr">
        <is>
          <t/>
        </is>
      </c>
      <c r="J39" s="128" t="n">
        <v>4127218647</v>
      </c>
      <c r="K39" s="128"/>
    </row>
    <row customHeight="1" ht="20" r="40">
      <c r="A40" s="128" t="n">
        <v>9169342893</v>
      </c>
      <c r="B40" s="130" t="inlineStr">
        <is>
          <t>824008770 - Stephen Medina - The Village</t>
        </is>
      </c>
      <c r="C40" s="128" t="inlineStr">
        <is>
          <t>Update</t>
        </is>
      </c>
      <c r="D40" s="128" t="inlineStr">
        <is>
          <t/>
        </is>
      </c>
      <c r="E40" s="128" t="inlineStr">
        <is>
          <t>Servando Guzman Casanova</t>
        </is>
      </c>
      <c r="F40" s="128" t="inlineStr">
        <is>
          <t>01/August/2025  01:12:55 PM</t>
        </is>
      </c>
      <c r="G40" s="129" t="inlineStr">
        <is>
          <t>Tower 5
Note on Commercial Appraisal - Not ready to requested</t>
        </is>
      </c>
      <c r="H40" s="128" t="n">
        <v>0</v>
      </c>
      <c r="I40" s="128" t="inlineStr">
        <is>
          <t/>
        </is>
      </c>
      <c r="J40" s="128" t="n">
        <v>4369469720</v>
      </c>
      <c r="K40" s="128"/>
    </row>
    <row customHeight="1" ht="20" r="41">
      <c r="A41" s="128" t="n">
        <v>9442990425</v>
      </c>
      <c r="B41" s="130" t="inlineStr">
        <is>
          <t>824009152 - Hemsley - General Retail</t>
        </is>
      </c>
      <c r="C41" s="128" t="inlineStr">
        <is>
          <t>Update</t>
        </is>
      </c>
      <c r="D41" s="128" t="inlineStr">
        <is>
          <t/>
        </is>
      </c>
      <c r="E41" s="128" t="inlineStr">
        <is>
          <t>Servando Guzman Casanova</t>
        </is>
      </c>
      <c r="F41" s="128" t="inlineStr">
        <is>
          <t>18/July/2025  06:11:25 PM</t>
        </is>
      </c>
      <c r="G41" s="129" t="inlineStr">
        <is>
          <t>Missing Manifestation
Note on Commercial Appraisal - Stuck</t>
        </is>
      </c>
      <c r="H41" s="128" t="n">
        <v>0</v>
      </c>
      <c r="I41" s="128" t="inlineStr">
        <is>
          <t/>
        </is>
      </c>
      <c r="J41" s="128" t="n">
        <v>4331393037</v>
      </c>
      <c r="K41" s="128"/>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2025-11-19T15:47:20Z</dcterms:created>
  <cp:revision>0</cp:revision>
</cp:coreProperties>
</file>